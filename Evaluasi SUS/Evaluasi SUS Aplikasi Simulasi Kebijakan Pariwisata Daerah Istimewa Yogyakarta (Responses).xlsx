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<sst xmlns="http://schemas.openxmlformats.org/spreadsheetml/2006/main" count="186" uniqueCount="53">
  <si>
    <t>Timestamp</t>
  </si>
  <si>
    <t>Saya bersedia mengisi kuesioner ini dan jawaban saya digunakan untuk keperluan penelitian.</t>
  </si>
  <si>
    <t>Nama/Inisial</t>
  </si>
  <si>
    <t>Peran responden</t>
  </si>
  <si>
    <t>Saya telah mencoba kelima tugas di atas.</t>
  </si>
  <si>
    <t>System Usability Scale (SUS) — pilih tingkat persetujuan untuk setiap pernyataan [1.  Saya rasa saya akan sering menggunakan aplikasi ini.]</t>
  </si>
  <si>
    <t>System Usability Scale (SUS) — pilih tingkat persetujuan untuk setiap pernyataan [2.  Saya merasa aplikasi ini terlalu rumit padahal dapat dibuat lebih sederhana.]</t>
  </si>
  <si>
    <t>System Usability Scale (SUS) — pilih tingkat persetujuan untuk setiap pernyataan [3.  Saya rasa aplikasi ini mudah digunakan.]</t>
  </si>
  <si>
    <t>System Usability Scale (SUS) — pilih tingkat persetujuan untuk setiap pernyataan [4.  Saya rasa saya memerlukan bantuan orang teknis untuk dapat menggunakan aplikasi ini.]</t>
  </si>
  <si>
    <t>System Usability Scale (SUS) — pilih tingkat persetujuan untuk setiap pernyataan [5.  Saya rasa berbagai fungsi dalam aplikasi ini terpadu dengan baik.]</t>
  </si>
  <si>
    <t>System Usability Scale (SUS) — pilih tingkat persetujuan untuk setiap pernyataan [6.  Saya rasa terlalu banyak ketidakkonsistenan dalam aplikasi ini.]</t>
  </si>
  <si>
    <t>System Usability Scale (SUS) — pilih tingkat persetujuan untuk setiap pernyataan [7.  Saya rasa kebanyakan orang akan cepat memahami cara menggunakan aplikasi ini.]</t>
  </si>
  <si>
    <t>System Usability Scale (SUS) — pilih tingkat persetujuan untuk setiap pernyataan [8.  Saya rasa aplikasi ini merepotkan untuk digunakan.]</t>
  </si>
  <si>
    <t>System Usability Scale (SUS) — pilih tingkat persetujuan untuk setiap pernyataan [9.  Saya merasa yakin saat menggunakan aplikasi ini.]</t>
  </si>
  <si>
    <t>System Usability Scale (SUS) — pilih tingkat persetujuan untuk setiap pernyataan [10. Saya perlu mempelajari banyak hal terlebih dahulu sebelum dapat menggunakan aplikasi ini.]</t>
  </si>
  <si>
    <t>Bagian mana dari aplikasi yang menurut Anda paling membingungkan?</t>
  </si>
  <si>
    <t>Apa saran Anda agar aplikasi ini lebih mudah digunakan?</t>
  </si>
  <si>
    <t>Skor SUS</t>
  </si>
  <si>
    <t>Ya</t>
  </si>
  <si>
    <t>W</t>
  </si>
  <si>
    <t>Mahasiswa</t>
  </si>
  <si>
    <t>Ya, sudah saya coba</t>
  </si>
  <si>
    <t>4 Setuju</t>
  </si>
  <si>
    <t>1 Sangat tidak setuju</t>
  </si>
  <si>
    <t>5 Sangat setuju</t>
  </si>
  <si>
    <t>Penjelasan teknis, akan lebih baik setelah mencoba simulasi akan ada interpretasi dari setiap grafik yang ditampilkan, interpretasinya bisa template dan mengikuti angka yang muncul</t>
  </si>
  <si>
    <t>Tambahkan fitur chatbot untuk pengembanagn kedepannya</t>
  </si>
  <si>
    <t>Salma Luthfina</t>
  </si>
  <si>
    <t>2 Tidak setuju</t>
  </si>
  <si>
    <t>-</t>
  </si>
  <si>
    <t>Ann</t>
  </si>
  <si>
    <t>Tidak ada, semua fitur mudah untuk dipahami dan disimulasikan.</t>
  </si>
  <si>
    <t>Aplikasi sudah sangat baik dan mudah untuk digunakan.</t>
  </si>
  <si>
    <t>Fiona Audia Nauli Sihombing</t>
  </si>
  <si>
    <t>ay</t>
  </si>
  <si>
    <t>di bagian tuas kebijakan ada 2 garis yg membingungkan</t>
  </si>
  <si>
    <t>wida</t>
  </si>
  <si>
    <t>bingung bagian dalam menginterpretasikannya</t>
  </si>
  <si>
    <t>ada interpretasi, atau buku panduan</t>
  </si>
  <si>
    <t>Amalyah</t>
  </si>
  <si>
    <t>Wanda</t>
  </si>
  <si>
    <t>3 Netral</t>
  </si>
  <si>
    <t>N</t>
  </si>
  <si>
    <t>tom</t>
  </si>
  <si>
    <t>=-</t>
  </si>
  <si>
    <t>Statistik</t>
  </si>
  <si>
    <t>Formula Excel</t>
  </si>
  <si>
    <t>Jumlah responden</t>
  </si>
  <si>
    <t>Rata-rata</t>
  </si>
  <si>
    <t>Median</t>
  </si>
  <si>
    <t>Simpangan baku</t>
  </si>
  <si>
    <t>Minimum</t>
  </si>
  <si>
    <t>Maksimum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</si>
</sst>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 2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1" displayName="Form_Responses" name="Form_Responses" id="1">
  <tableColumns count="18">
    <tableColumn name="Timestamp" id="1"/>
    <tableColumn name="Saya bersedia mengisi kuesioner ini dan jawaban saya digunakan untuk keperluan penelitian." id="2"/>
    <tableColumn name="Nama/Inisial" id="3"/>
    <tableColumn name="Peran responden" id="4"/>
    <tableColumn name="Saya telah mencoba kelima tugas di atas." id="5"/>
    <tableColumn name="System Usability Scale (SUS) — pilih tingkat persetujuan untuk setiap pernyataan [1.  Saya rasa saya akan sering menggunakan aplikasi ini.]" id="6"/>
    <tableColumn name="System Usability Scale (SUS) — pilih tingkat persetujuan untuk setiap pernyataan [2.  Saya merasa aplikasi ini terlalu rumit padahal dapat dibuat lebih sederhana.]" id="7"/>
    <tableColumn name="System Usability Scale (SUS) — pilih tingkat persetujuan untuk setiap pernyataan [3.  Saya rasa aplikasi ini mudah digunakan.]" id="8"/>
    <tableColumn name="System Usability Scale (SUS) — pilih tingkat persetujuan untuk setiap pernyataan [4.  Saya rasa saya memerlukan bantuan orang teknis untuk dapat menggunakan aplikasi ini.]" id="9"/>
    <tableColumn name="System Usability Scale (SUS) — pilih tingkat persetujuan untuk setiap pernyataan [5.  Saya rasa berbagai fungsi dalam aplikasi ini terpadu dengan baik.]" id="10"/>
    <tableColumn name="System Usability Scale (SUS) — pilih tingkat persetujuan untuk setiap pernyataan [6.  Saya rasa terlalu banyak ketidakkonsistenan dalam aplikasi ini.]" id="11"/>
    <tableColumn name="System Usability Scale (SUS) — pilih tingkat persetujuan untuk setiap pernyataan [7.  Saya rasa kebanyakan orang akan cepat memahami cara menggunakan aplikasi ini.]" id="12"/>
    <tableColumn name="System Usability Scale (SUS) — pilih tingkat persetujuan untuk setiap pernyataan [8.  Saya rasa aplikasi ini merepotkan untuk digunakan.]" id="13"/>
    <tableColumn name="System Usability Scale (SUS) — pilih tingkat persetujuan untuk setiap pernyataan [9.  Saya merasa yakin saat menggunakan aplikasi ini.]" id="14"/>
    <tableColumn name="System Usability Scale (SUS) — pilih tingkat persetujuan untuk setiap pernyataan [10. Saya perlu mempelajari banyak hal terlebih dahulu sebelum dapat menggunakan aplikasi ini.]" id="15"/>
    <tableColumn name="Bagian mana dari aplikasi yang menurut Anda paling membingungkan?" id="16"/>
    <tableColumn name="Apa saran Anda agar aplikasi ini lebih mudah digunakan?" id="17"/>
    <tableColumn name="Skor SUS" id="1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4:B20" displayName="Table1" name="Table1" id="2">
  <tableColumns count="2">
    <tableColumn name="Statistik" id="1"/>
    <tableColumn name="Formula Excel" id="2"/>
  </tableColumns>
  <tableStyleInfo name="Form Responses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4" width="18.88"/>
    <col customWidth="1" min="5" max="5" width="35.38"/>
    <col customWidth="1" min="6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22.5" customHeight="1">
      <c r="A2" s="3">
        <v>46294.672099131945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23</v>
      </c>
      <c r="J2" s="4" t="s">
        <v>24</v>
      </c>
      <c r="K2" s="4" t="s">
        <v>23</v>
      </c>
      <c r="L2" s="4" t="s">
        <v>24</v>
      </c>
      <c r="M2" s="4" t="s">
        <v>23</v>
      </c>
      <c r="N2" s="4" t="s">
        <v>24</v>
      </c>
      <c r="O2" s="4" t="s">
        <v>23</v>
      </c>
      <c r="P2" s="4" t="s">
        <v>25</v>
      </c>
      <c r="Q2" s="4" t="s">
        <v>26</v>
      </c>
      <c r="R2" s="5">
        <f t="shared" ref="R2:R11" si="1">2.5*((VALUE(LEFT(F2,1))-1)+(5-VALUE(LEFT(G2,1)))+(VALUE(LEFT(H2,1))-1)+(5-VALUE(LEFT(I2,1)))+(VALUE(LEFT(J2,1))-1)+(5-VALUE(LEFT(K2,1)))+(VALUE(LEFT(L2,1))-1)+(5-VALUE(LEFT(M2,1)))+(VALUE(LEFT(N2,1))-1)+(5-VALUE(LEFT(O2,1))))</f>
        <v>97.5</v>
      </c>
    </row>
    <row r="3" ht="22.5" customHeight="1">
      <c r="A3" s="3">
        <v>46294.67487386574</v>
      </c>
      <c r="B3" s="4" t="s">
        <v>18</v>
      </c>
      <c r="C3" s="4" t="s">
        <v>27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28</v>
      </c>
      <c r="J3" s="4" t="s">
        <v>22</v>
      </c>
      <c r="K3" s="4" t="s">
        <v>28</v>
      </c>
      <c r="L3" s="4" t="s">
        <v>24</v>
      </c>
      <c r="M3" s="4" t="s">
        <v>23</v>
      </c>
      <c r="N3" s="4" t="s">
        <v>24</v>
      </c>
      <c r="O3" s="4" t="s">
        <v>28</v>
      </c>
      <c r="P3" s="4" t="s">
        <v>29</v>
      </c>
      <c r="Q3" s="4" t="s">
        <v>29</v>
      </c>
      <c r="R3" s="5">
        <f t="shared" si="1"/>
        <v>87.5</v>
      </c>
    </row>
    <row r="4" ht="22.5" customHeight="1">
      <c r="A4" s="3">
        <v>46294.68121077547</v>
      </c>
      <c r="B4" s="4" t="s">
        <v>18</v>
      </c>
      <c r="C4" s="4" t="s">
        <v>30</v>
      </c>
      <c r="D4" s="4" t="s">
        <v>20</v>
      </c>
      <c r="E4" s="4" t="s">
        <v>21</v>
      </c>
      <c r="F4" s="4" t="s">
        <v>24</v>
      </c>
      <c r="G4" s="4" t="s">
        <v>23</v>
      </c>
      <c r="H4" s="4" t="s">
        <v>24</v>
      </c>
      <c r="I4" s="4" t="s">
        <v>23</v>
      </c>
      <c r="J4" s="4" t="s">
        <v>24</v>
      </c>
      <c r="K4" s="4" t="s">
        <v>23</v>
      </c>
      <c r="L4" s="4" t="s">
        <v>24</v>
      </c>
      <c r="M4" s="4" t="s">
        <v>23</v>
      </c>
      <c r="N4" s="4" t="s">
        <v>24</v>
      </c>
      <c r="O4" s="4" t="s">
        <v>23</v>
      </c>
      <c r="P4" s="4" t="s">
        <v>31</v>
      </c>
      <c r="Q4" s="4" t="s">
        <v>32</v>
      </c>
      <c r="R4" s="5">
        <f t="shared" si="1"/>
        <v>100</v>
      </c>
    </row>
    <row r="5" ht="22.5" customHeight="1">
      <c r="A5" s="3">
        <v>46294.683033298614</v>
      </c>
      <c r="B5" s="4" t="s">
        <v>18</v>
      </c>
      <c r="C5" s="4" t="s">
        <v>33</v>
      </c>
      <c r="D5" s="4" t="s">
        <v>20</v>
      </c>
      <c r="E5" s="4" t="s">
        <v>21</v>
      </c>
      <c r="F5" s="4" t="s">
        <v>24</v>
      </c>
      <c r="G5" s="4" t="s">
        <v>23</v>
      </c>
      <c r="H5" s="4" t="s">
        <v>24</v>
      </c>
      <c r="I5" s="4" t="s">
        <v>23</v>
      </c>
      <c r="J5" s="4" t="s">
        <v>24</v>
      </c>
      <c r="K5" s="4" t="s">
        <v>23</v>
      </c>
      <c r="L5" s="4" t="s">
        <v>24</v>
      </c>
      <c r="M5" s="4" t="s">
        <v>23</v>
      </c>
      <c r="N5" s="4" t="s">
        <v>24</v>
      </c>
      <c r="O5" s="4" t="s">
        <v>23</v>
      </c>
      <c r="P5" s="4" t="s">
        <v>29</v>
      </c>
      <c r="Q5" s="4" t="s">
        <v>29</v>
      </c>
      <c r="R5" s="5">
        <f t="shared" si="1"/>
        <v>100</v>
      </c>
    </row>
    <row r="6" ht="22.5" customHeight="1">
      <c r="A6" s="3">
        <v>46294.688307523145</v>
      </c>
      <c r="B6" s="4" t="s">
        <v>18</v>
      </c>
      <c r="C6" s="4" t="s">
        <v>34</v>
      </c>
      <c r="D6" s="4" t="s">
        <v>20</v>
      </c>
      <c r="E6" s="4" t="s">
        <v>21</v>
      </c>
      <c r="F6" s="4" t="s">
        <v>28</v>
      </c>
      <c r="G6" s="4" t="s">
        <v>23</v>
      </c>
      <c r="H6" s="4" t="s">
        <v>24</v>
      </c>
      <c r="I6" s="4" t="s">
        <v>23</v>
      </c>
      <c r="J6" s="4" t="s">
        <v>22</v>
      </c>
      <c r="K6" s="4" t="s">
        <v>28</v>
      </c>
      <c r="L6" s="4" t="s">
        <v>24</v>
      </c>
      <c r="M6" s="4" t="s">
        <v>23</v>
      </c>
      <c r="N6" s="4" t="s">
        <v>24</v>
      </c>
      <c r="O6" s="4" t="s">
        <v>28</v>
      </c>
      <c r="P6" s="4" t="s">
        <v>35</v>
      </c>
      <c r="Q6" s="4" t="s">
        <v>29</v>
      </c>
      <c r="R6" s="5">
        <f t="shared" si="1"/>
        <v>85</v>
      </c>
    </row>
    <row r="7" ht="22.5" customHeight="1">
      <c r="A7" s="3">
        <v>46294.697705416664</v>
      </c>
      <c r="B7" s="4" t="s">
        <v>18</v>
      </c>
      <c r="C7" s="4" t="s">
        <v>36</v>
      </c>
      <c r="D7" s="4" t="s">
        <v>20</v>
      </c>
      <c r="E7" s="4" t="s">
        <v>21</v>
      </c>
      <c r="F7" s="4" t="s">
        <v>24</v>
      </c>
      <c r="G7" s="4" t="s">
        <v>28</v>
      </c>
      <c r="H7" s="4" t="s">
        <v>24</v>
      </c>
      <c r="I7" s="4" t="s">
        <v>23</v>
      </c>
      <c r="J7" s="4" t="s">
        <v>24</v>
      </c>
      <c r="K7" s="4" t="s">
        <v>23</v>
      </c>
      <c r="L7" s="4" t="s">
        <v>22</v>
      </c>
      <c r="M7" s="4" t="s">
        <v>23</v>
      </c>
      <c r="N7" s="4" t="s">
        <v>24</v>
      </c>
      <c r="O7" s="4" t="s">
        <v>22</v>
      </c>
      <c r="P7" s="4" t="s">
        <v>37</v>
      </c>
      <c r="Q7" s="4" t="s">
        <v>38</v>
      </c>
      <c r="R7" s="5">
        <f t="shared" si="1"/>
        <v>87.5</v>
      </c>
    </row>
    <row r="8" ht="22.5" customHeight="1">
      <c r="A8" s="3">
        <v>46294.961392094905</v>
      </c>
      <c r="B8" s="4" t="s">
        <v>18</v>
      </c>
      <c r="C8" s="4" t="s">
        <v>39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23</v>
      </c>
      <c r="J8" s="4" t="s">
        <v>24</v>
      </c>
      <c r="K8" s="4" t="s">
        <v>23</v>
      </c>
      <c r="L8" s="4" t="s">
        <v>24</v>
      </c>
      <c r="M8" s="4" t="s">
        <v>23</v>
      </c>
      <c r="N8" s="4" t="s">
        <v>24</v>
      </c>
      <c r="O8" s="4" t="s">
        <v>23</v>
      </c>
      <c r="P8" s="4" t="s">
        <v>29</v>
      </c>
      <c r="Q8" s="4" t="s">
        <v>29</v>
      </c>
      <c r="R8" s="5">
        <f t="shared" si="1"/>
        <v>97.5</v>
      </c>
    </row>
    <row r="9" ht="22.5" customHeight="1">
      <c r="A9" s="3">
        <v>46294.98593084491</v>
      </c>
      <c r="B9" s="4" t="s">
        <v>18</v>
      </c>
      <c r="C9" s="4" t="s">
        <v>40</v>
      </c>
      <c r="D9" s="4" t="s">
        <v>20</v>
      </c>
      <c r="E9" s="4" t="s">
        <v>21</v>
      </c>
      <c r="F9" s="4" t="s">
        <v>28</v>
      </c>
      <c r="G9" s="4" t="s">
        <v>41</v>
      </c>
      <c r="H9" s="4" t="s">
        <v>41</v>
      </c>
      <c r="I9" s="4" t="s">
        <v>23</v>
      </c>
      <c r="J9" s="4" t="s">
        <v>28</v>
      </c>
      <c r="K9" s="4" t="s">
        <v>23</v>
      </c>
      <c r="L9" s="4" t="s">
        <v>28</v>
      </c>
      <c r="M9" s="4" t="s">
        <v>23</v>
      </c>
      <c r="N9" s="4" t="s">
        <v>28</v>
      </c>
      <c r="O9" s="4" t="s">
        <v>23</v>
      </c>
      <c r="P9" s="4" t="s">
        <v>29</v>
      </c>
      <c r="Q9" s="4" t="s">
        <v>29</v>
      </c>
      <c r="R9" s="5">
        <f t="shared" si="1"/>
        <v>60</v>
      </c>
    </row>
    <row r="10" ht="22.5" customHeight="1">
      <c r="A10" s="3">
        <v>46295.019402499995</v>
      </c>
      <c r="B10" s="4" t="s">
        <v>18</v>
      </c>
      <c r="C10" s="4" t="s">
        <v>42</v>
      </c>
      <c r="D10" s="4" t="s">
        <v>20</v>
      </c>
      <c r="E10" s="4" t="s">
        <v>21</v>
      </c>
      <c r="F10" s="4" t="s">
        <v>41</v>
      </c>
      <c r="G10" s="4" t="s">
        <v>28</v>
      </c>
      <c r="H10" s="4" t="s">
        <v>22</v>
      </c>
      <c r="I10" s="4" t="s">
        <v>41</v>
      </c>
      <c r="J10" s="4" t="s">
        <v>24</v>
      </c>
      <c r="K10" s="4" t="s">
        <v>23</v>
      </c>
      <c r="L10" s="4" t="s">
        <v>41</v>
      </c>
      <c r="M10" s="4" t="s">
        <v>28</v>
      </c>
      <c r="N10" s="4" t="s">
        <v>41</v>
      </c>
      <c r="O10" s="4" t="s">
        <v>28</v>
      </c>
      <c r="P10" s="4" t="s">
        <v>29</v>
      </c>
      <c r="Q10" s="4" t="s">
        <v>29</v>
      </c>
      <c r="R10" s="5">
        <f t="shared" si="1"/>
        <v>70</v>
      </c>
    </row>
    <row r="11" ht="22.5" customHeight="1">
      <c r="A11" s="3">
        <v>46295.05746762731</v>
      </c>
      <c r="B11" s="4" t="s">
        <v>18</v>
      </c>
      <c r="C11" s="4" t="s">
        <v>43</v>
      </c>
      <c r="D11" s="4" t="s">
        <v>20</v>
      </c>
      <c r="E11" s="4" t="s">
        <v>21</v>
      </c>
      <c r="F11" s="4" t="s">
        <v>24</v>
      </c>
      <c r="G11" s="4" t="s">
        <v>23</v>
      </c>
      <c r="H11" s="4" t="s">
        <v>24</v>
      </c>
      <c r="I11" s="4" t="s">
        <v>23</v>
      </c>
      <c r="J11" s="4" t="s">
        <v>24</v>
      </c>
      <c r="K11" s="4" t="s">
        <v>23</v>
      </c>
      <c r="L11" s="4" t="s">
        <v>24</v>
      </c>
      <c r="M11" s="4" t="s">
        <v>23</v>
      </c>
      <c r="N11" s="4" t="s">
        <v>24</v>
      </c>
      <c r="O11" s="4" t="s">
        <v>23</v>
      </c>
      <c r="P11" s="6" t="s">
        <v>44</v>
      </c>
      <c r="Q11" s="4" t="s">
        <v>29</v>
      </c>
      <c r="R11" s="5">
        <f t="shared" si="1"/>
        <v>100</v>
      </c>
    </row>
    <row r="14" ht="22.5" customHeight="1">
      <c r="A14" s="7" t="s">
        <v>45</v>
      </c>
      <c r="B14" s="7" t="s">
        <v>46</v>
      </c>
    </row>
    <row r="15" ht="22.5" customHeight="1">
      <c r="A15" s="8" t="s">
        <v>47</v>
      </c>
      <c r="B15" s="9">
        <f>COUNT(R2:R11)</f>
        <v>10</v>
      </c>
    </row>
    <row r="16" ht="22.5" customHeight="1">
      <c r="A16" s="8" t="s">
        <v>48</v>
      </c>
      <c r="B16" s="9">
        <f>AVERAGE(R2:R11)</f>
        <v>88.5</v>
      </c>
    </row>
    <row r="17" ht="22.5" customHeight="1">
      <c r="A17" s="8" t="s">
        <v>49</v>
      </c>
      <c r="B17" s="9">
        <f>MEDIAN(R2:R11)</f>
        <v>92.5</v>
      </c>
    </row>
    <row r="18" ht="22.5" customHeight="1">
      <c r="A18" s="8" t="s">
        <v>50</v>
      </c>
      <c r="B18" s="9">
        <f>_xlfn.STDEV.S(R2:R11)</f>
        <v>13.85440163</v>
      </c>
    </row>
    <row r="19" ht="22.5" customHeight="1">
      <c r="A19" s="8" t="s">
        <v>51</v>
      </c>
      <c r="B19" s="9">
        <f>MIN(R2:R11)</f>
        <v>60</v>
      </c>
    </row>
    <row r="20" ht="22.5" customHeight="1">
      <c r="A20" s="8" t="s">
        <v>52</v>
      </c>
      <c r="B20" s="9">
        <f>MAX(R2:R11)</f>
        <v>100</v>
      </c>
    </row>
  </sheetData>
  <drawing r:id="rId1"/>
  <tableParts count="2">
    <tablePart r:id="rId4"/>
    <tablePart r:id="rId5"/>
  </tableParts>
</worksheet>
</file>