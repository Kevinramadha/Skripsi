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rs Tengah Mata Uang Asing" sheetId="1" r:id="rId4"/>
    <sheet state="visible" name="Pengeluaran Wisman (US$)" sheetId="2" r:id="rId5"/>
    <sheet state="visible" name="Pengeluaran Wisnus" sheetId="3" r:id="rId6"/>
    <sheet state="visible" name="Jumlah Wisatawan" sheetId="4" r:id="rId7"/>
  </sheets>
  <definedNames/>
  <calcPr/>
  <extLst>
    <ext uri="GoogleSheetsCustomDataVersion2">
      <go:sheetsCustomData xmlns:go="http://customooxmlschemas.google.com/" r:id="rId8" roundtripDataChecksum="STDx98DjACUa5l2JUo6hOvAISy41nvwH3WLy+E8wAR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ID#AAACC5h5YuM
    (2026-09-13 11:16:31)
Sumber: https://web-api.bps.go.id/download.php?f=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=&amp;_gl=1*1109ymd*_ga*MjA0MDA1NDYxOS4xNzgwNDc2NDEw*_ga_XXTTVXWHDB*czE3ODg1Mjg0NDYkbzIwJGcxJHQxNzg4NTMzMTQ1JGo2MCRsMCRoMA..</t>
      </text>
    </comment>
    <comment authorId="0" ref="F4">
      <text>
        <t xml:space="preserve">======
ID#AAACC5h5YuI
    (2026-09-13 11:16:31)
https://web-api.bps.go.id/download.php?f=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=&amp;_gl=1*1109ymd*_ga*MjA0MDA1NDYxOS4xNzgwNDc2NDEw*_ga_XXTTVXWHDB*czE3ODg1Mjg0NDYkbzIwJGcxJHQxNzg4NTMzMTQ1JGo2MCRsMCRoMA..</t>
      </text>
    </comment>
    <comment authorId="0" ref="G4">
      <text>
        <t xml:space="preserve">======
ID#AAACC5h5YuQ
    (2026-09-13 11:16:31)
https://web-api.bps.go.id/download.php?f=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=&amp;_gl=1*1109ymd*_ga*MjA0MDA1NDYxOS4xNzgwNDc2NDEw*_ga_XXTTVXWHDB*czE3ODg1Mjg0NDYkbzIwJGcxJHQxNzg4NTMzMTQ1JGo2MCRsMCRoMA..</t>
      </text>
    </comment>
    <comment authorId="0" ref="K4">
      <text>
        <t xml:space="preserve">======
ID#AAACC5h5YuE
    (2026-09-13 11:16:31)
Interpolasi Linear</t>
      </text>
    </comment>
  </commentList>
  <extLst>
    <ext uri="GoogleSheetsCustomDataVersion2">
      <go:sheetsCustomData xmlns:go="http://customooxmlschemas.google.com/" r:id="rId1" roundtripDataSignature="AMtx7mjbyY9WI2NCZonJL4zxX4w7cYynzw=="/>
    </ext>
  </extLst>
</comments>
</file>

<file path=xl/sharedStrings.xml><?xml version="1.0" encoding="utf-8"?>
<sst xmlns="http://schemas.openxmlformats.org/spreadsheetml/2006/main" count="52" uniqueCount="48">
  <si>
    <t>Mata Uang Asing</t>
  </si>
  <si>
    <t>Kurs Tengah Beberapa Mata Uang Asing Terhadap Rupiah di Bank Indonesia (rupiah)</t>
  </si>
  <si>
    <t>Dolar Amerika</t>
  </si>
  <si>
    <t>Dolar Australia</t>
  </si>
  <si>
    <t>Dolar Hongkong</t>
  </si>
  <si>
    <t>Dolar Kanada</t>
  </si>
  <si>
    <t>Dolar Singapura</t>
  </si>
  <si>
    <t>EURO Eropa</t>
  </si>
  <si>
    <t>Pound.Stg Inggris</t>
  </si>
  <si>
    <t>Ringgit Malaysia</t>
  </si>
  <si>
    <t>Tahun</t>
  </si>
  <si>
    <t>Yen. 100 Jepang</t>
  </si>
  <si>
    <t>Catatan</t>
  </si>
  <si>
    <t>Pengeluaran wisatawan mancanegara perkunjungan (US$)</t>
  </si>
  <si>
    <t>Sumber :  Bank Indonesia</t>
  </si>
  <si>
    <t>Dikutip dari Publikasi Provinsi Jawa Tengah dalam Angka</t>
  </si>
  <si>
    <t>Publikasi Pengeluaran Wisatawan Mancanegara, BPS</t>
  </si>
  <si>
    <t>https://www.bps.go.id/id/publication/2026/05/05/5d0ec91c10b00f0302bc6757/statistik-pengeluaran-wisatawan-mancanegara-2025.html</t>
  </si>
  <si>
    <t>Pengeluaran per Perjalanan Wisatawan Nusantara (Ribu Rupiah)</t>
  </si>
  <si>
    <t>No</t>
  </si>
  <si>
    <t>Variabel Offstat</t>
  </si>
  <si>
    <t>Peran Dalam Model</t>
  </si>
  <si>
    <t>Satuan</t>
  </si>
  <si>
    <t>2015</t>
  </si>
  <si>
    <t>2016</t>
  </si>
  <si>
    <t>2017</t>
  </si>
  <si>
    <t>2018</t>
  </si>
  <si>
    <t>Publikasi Statistik Wisatawan Nusantara</t>
  </si>
  <si>
    <t>2019</t>
  </si>
  <si>
    <t>2020</t>
  </si>
  <si>
    <t>2021</t>
  </si>
  <si>
    <t>2022</t>
  </si>
  <si>
    <t>2023</t>
  </si>
  <si>
    <t>2024</t>
  </si>
  <si>
    <r>
      <rPr>
        <rFont val="Roboto"/>
        <color rgb="FF1155CC"/>
        <u/>
      </rPr>
      <t>https://www.bps.go.id/id/publication/2026/04/30/06948320ebe75b7678b09c56/statistik-wisatawan-nusantara-2025.html</t>
    </r>
    <r>
      <rPr>
        <rFont val="Roboto"/>
        <color rgb="FF434343"/>
      </rPr>
      <t xml:space="preserve"> </t>
    </r>
  </si>
  <si>
    <t>2025</t>
  </si>
  <si>
    <t>Sumber</t>
  </si>
  <si>
    <t>Link Sumber</t>
  </si>
  <si>
    <t>Jumlah Wisatawan</t>
  </si>
  <si>
    <t>Stock</t>
  </si>
  <si>
    <t>Kunjungan</t>
  </si>
  <si>
    <t>Publikasi wisatawan mancanegara dan nusantara</t>
  </si>
  <si>
    <t>Jumlah Wisatawan Nusantara</t>
  </si>
  <si>
    <t>Data pendukung</t>
  </si>
  <si>
    <t>Perjalanan</t>
  </si>
  <si>
    <t>Publikasi wisatawan nusantara</t>
  </si>
  <si>
    <t>Jumlah Wisatawan Mancanegara</t>
  </si>
  <si>
    <t>Publikasi wisatawan mancanegara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</si>
</sst>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color theme="1"/>
      <name val="Calibri"/>
    </font>
    <font>
      <color theme="1"/>
      <name val="Arial"/>
    </font>
    <font>
      <color theme="1"/>
      <name val="Calibri"/>
      <scheme val="minor"/>
    </font>
    <font>
      <color rgb="FF434343"/>
      <name val="Roboto"/>
    </font>
    <font>
      <b/>
      <color theme="1"/>
      <name val="Roboto"/>
    </font>
    <font>
      <u/>
      <color rgb="FF0000FF"/>
    </font>
    <font>
      <b/>
      <color rgb="FF434343"/>
      <name val="Roboto"/>
    </font>
    <font>
      <u/>
      <color rgb="FF434343"/>
      <name val="Roboto"/>
    </font>
    <font>
      <b/>
      <color rgb="FF5A3286"/>
      <name val="Roboto"/>
    </font>
    <font>
      <color rgb="FFB10202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right" shrinkToFit="0" wrapText="0"/>
    </xf>
    <xf borderId="0" fillId="0" fontId="5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right" shrinkToFit="0" wrapText="0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wrapText="0"/>
    </xf>
    <xf borderId="2" fillId="3" fontId="7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shrinkToFit="0" wrapText="0"/>
    </xf>
    <xf borderId="1" fillId="3" fontId="7" numFmtId="0" xfId="0" applyAlignment="1" applyBorder="1" applyFill="1" applyFont="1">
      <alignment shrinkToFit="0" vertical="center" wrapText="1"/>
    </xf>
    <xf borderId="0" fillId="0" fontId="1" numFmtId="0" xfId="0" applyFont="1"/>
    <xf borderId="1" fillId="3" fontId="9" numFmtId="0" xfId="0" applyAlignment="1" applyBorder="1" applyFill="1" applyFont="1">
      <alignment shrinkToFit="0" vertical="center" wrapText="0"/>
    </xf>
    <xf borderId="1" fillId="3" fontId="7" numFmtId="0" xfId="0" applyAlignment="1" applyBorder="1" applyFill="1" applyFont="1">
      <alignment shrinkToFit="0" vertical="center" wrapText="0"/>
    </xf>
    <xf borderId="1" fillId="3" fontId="7" numFmtId="0" xfId="0" applyAlignment="1" applyBorder="1" applyFill="1" applyFont="1">
      <alignment horizontal="right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1"/>
    </xf>
    <xf borderId="1" fillId="4" fontId="10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horizontal="right"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3" fillId="4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shrinkToFit="0" vertical="center" wrapText="1"/>
    </xf>
    <xf borderId="1" fillId="2" fontId="10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ill="1" applyFont="1">
      <alignment horizontal="right" shrinkToFit="0" vertical="center" wrapText="0"/>
    </xf>
    <xf borderId="1" fillId="5" fontId="4" numFmtId="0" xfId="0" applyAlignment="1" applyBorder="1" applyFill="1" applyFont="1">
      <alignment horizontal="right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2" pivot="0" name="Pengeluaran Wisnus-style">
      <tableStyleElement dxfId="2" type="firstRowStripe"/>
      <tableStyleElement dxfId="3" type="secondRowStripe"/>
    </tableStyle>
    <tableStyle count="4" pivot="0" name="Jumlah Wisata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engeluaran Wisnus-style 2">
      <tableStyleElement dxfId="2" type="firstRowStripe"/>
      <tableStyleElement dxfId="3" type="secondRowStripe"/>
    </tableStyle>
    <tableStyle count="2" pivot="0" name="Pengeluaran Wisnus-style 3"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I12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engeluaran Wisnus-style" showColumnStripes="0" showFirstColumn="1" showLastColumn="1" showRowStripes="1"/>
</table>
</file>

<file path=xl/tables/table2.xml><?xml version="1.0" encoding="utf-8"?>
<table xmlns="http://schemas.openxmlformats.org/spreadsheetml/2006/main" headerRowCount="0" ref="B15:C15" displayName="Table_2" name="Table_2" id="3">
  <tableColumns count="2">
    <tableColumn name="Column1" id="1"/>
    <tableColumn name="Column2" id="2"/>
  </tableColumns>
  <tableStyleInfo name="Pengeluaran Wisnu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7:I17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engeluaran Wisnus-style 3" showColumnStripes="0" showFirstColumn="1" showLastColumn="1" showRowStripes="1"/>
</table>
</file>

<file path=xl/tables/table4.xml><?xml version="1.0" encoding="utf-8"?>
<table xmlns="http://schemas.openxmlformats.org/spreadsheetml/2006/main" ref="A1:R4" displayName="Table1" name="Table1" id="2">
  <tableColumns count="18">
    <tableColumn name="No" id="1"/>
    <tableColumn name="Variabel Offstat" id="2"/>
    <tableColumn name="Peran Dalam Model" id="3"/>
    <tableColumn name="Satuan" id="4"/>
    <tableColumn name="2015" id="5"/>
    <tableColumn name="2016" id="6"/>
    <tableColumn name="2017" id="7"/>
    <tableColumn name="2018" id="8"/>
    <tableColumn name="2019" id="9"/>
    <tableColumn name="2020" id="10"/>
    <tableColumn name="2021" id="11"/>
    <tableColumn name="2022" id="12"/>
    <tableColumn name="2023" id="13"/>
    <tableColumn name="2024" id="14"/>
    <tableColumn name="2025" id="15"/>
    <tableColumn name="Sumber" id="16"/>
    <tableColumn name="Link Sumber" id="17"/>
    <tableColumn name="Catatan" id="18"/>
  </tableColumns>
  <tableStyleInfo name="Jumlah Wisataw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ps.go.id/id/publication/2026/05/05/5d0ec91c10b00f0302bc6757/statistik-pengeluaran-wisatawan-mancanegara-2025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ps.go.id/id/publication/2026/04/30/06948320ebe75b7678b09c56/statistik-wisatawan-nusantara-2025.html" TargetMode="External"/><Relationship Id="rId2" Type="http://schemas.openxmlformats.org/officeDocument/2006/relationships/drawing" Target="../drawings/drawing3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6" width="11.22"/>
  </cols>
  <sheetData>
    <row r="1">
      <c r="A1" s="1" t="s">
        <v>0</v>
      </c>
      <c r="B1" s="1" t="s">
        <v>1</v>
      </c>
    </row>
    <row r="2">
      <c r="B2" s="1">
        <v>2015.0</v>
      </c>
      <c r="C2" s="1">
        <v>2016.0</v>
      </c>
      <c r="D2" s="1">
        <v>2017.0</v>
      </c>
      <c r="E2" s="1">
        <v>2018.0</v>
      </c>
      <c r="F2" s="1">
        <v>2019.0</v>
      </c>
      <c r="G2" s="1">
        <v>2020.0</v>
      </c>
      <c r="H2" s="1">
        <v>2021.0</v>
      </c>
      <c r="I2" s="1">
        <v>2022.0</v>
      </c>
      <c r="J2" s="1">
        <v>2023.0</v>
      </c>
      <c r="K2" s="1">
        <v>2024.0</v>
      </c>
      <c r="L2" s="1">
        <v>2025.0</v>
      </c>
    </row>
    <row r="3">
      <c r="A3" s="1" t="s">
        <v>2</v>
      </c>
      <c r="B3" s="1">
        <v>13795.0</v>
      </c>
      <c r="C3" s="1">
        <v>13436.0</v>
      </c>
      <c r="D3" s="1">
        <v>13548.0</v>
      </c>
      <c r="E3" s="1">
        <v>14481.0</v>
      </c>
      <c r="F3" s="1">
        <v>14102.0</v>
      </c>
      <c r="G3" s="1">
        <v>14105.0</v>
      </c>
      <c r="H3" s="1">
        <v>14311.96</v>
      </c>
      <c r="I3" s="1">
        <v>15349.0</v>
      </c>
      <c r="J3" s="1">
        <v>15513.0</v>
      </c>
      <c r="K3" s="1">
        <v>16251.0</v>
      </c>
      <c r="L3" s="1">
        <v>16862.9</v>
      </c>
    </row>
    <row r="4">
      <c r="A4" s="1" t="s">
        <v>3</v>
      </c>
      <c r="B4" s="1">
        <v>10064.16</v>
      </c>
      <c r="C4" s="1">
        <v>9724.31</v>
      </c>
      <c r="D4" s="1">
        <v>10557.29</v>
      </c>
      <c r="E4" s="1">
        <v>10211.29</v>
      </c>
      <c r="F4" s="1">
        <v>9452.13</v>
      </c>
      <c r="G4" s="1">
        <v>10771.29</v>
      </c>
      <c r="H4" s="1">
        <v>10758.17</v>
      </c>
      <c r="I4" s="1">
        <v>10596.0</v>
      </c>
      <c r="J4" s="1">
        <v>10350.0</v>
      </c>
      <c r="K4" s="1">
        <v>10111.0</v>
      </c>
      <c r="L4" s="1">
        <v>11655.64</v>
      </c>
    </row>
    <row r="5">
      <c r="A5" s="1" t="s">
        <v>4</v>
      </c>
      <c r="B5" s="1">
        <v>1779.83</v>
      </c>
      <c r="C5" s="1">
        <v>1732.47</v>
      </c>
      <c r="D5" s="1">
        <v>1732.87</v>
      </c>
      <c r="E5" s="1">
        <v>1849.25</v>
      </c>
      <c r="F5" s="1">
        <v>1801.46</v>
      </c>
      <c r="G5" s="1">
        <v>1819.34</v>
      </c>
      <c r="H5" s="1">
        <v>1841.29</v>
      </c>
      <c r="I5" s="1">
        <v>1964.0</v>
      </c>
      <c r="J5" s="1">
        <v>1987.0</v>
      </c>
      <c r="K5" s="1">
        <v>2094.0</v>
      </c>
      <c r="L5" s="1">
        <v>2163.05</v>
      </c>
    </row>
    <row r="6">
      <c r="A6" s="1" t="s">
        <v>5</v>
      </c>
      <c r="B6" s="1">
        <v>9948.09</v>
      </c>
      <c r="C6" s="1">
        <v>9971.43</v>
      </c>
      <c r="D6" s="1">
        <v>10778.92</v>
      </c>
      <c r="E6" s="1">
        <v>10624.37</v>
      </c>
      <c r="F6" s="1">
        <v>10614.58</v>
      </c>
      <c r="G6" s="1">
        <v>11019.1</v>
      </c>
      <c r="H6" s="1">
        <v>11420.2</v>
      </c>
      <c r="I6" s="1">
        <v>11405.0</v>
      </c>
      <c r="J6" s="1">
        <v>11529.0</v>
      </c>
      <c r="K6" s="1">
        <v>11282.0</v>
      </c>
      <c r="L6" s="1">
        <v>12314.08</v>
      </c>
    </row>
    <row r="7">
      <c r="A7" s="1" t="s">
        <v>6</v>
      </c>
      <c r="B7" s="1">
        <v>9751.19</v>
      </c>
      <c r="C7" s="1">
        <v>9298.92</v>
      </c>
      <c r="D7" s="1">
        <v>10133.53</v>
      </c>
      <c r="E7" s="1">
        <v>10602.97</v>
      </c>
      <c r="F7" s="1">
        <v>10324.72</v>
      </c>
      <c r="G7" s="1">
        <v>10644.08</v>
      </c>
      <c r="H7" s="1">
        <v>10652.77</v>
      </c>
      <c r="I7" s="1">
        <v>11541.0</v>
      </c>
      <c r="J7" s="1">
        <v>11632.0</v>
      </c>
      <c r="K7" s="1">
        <v>11963.0</v>
      </c>
      <c r="L7" s="1">
        <v>13274.74</v>
      </c>
    </row>
    <row r="8">
      <c r="A8" s="1" t="s">
        <v>7</v>
      </c>
      <c r="B8" s="1">
        <v>15069.67</v>
      </c>
      <c r="C8" s="1">
        <v>14161.55</v>
      </c>
      <c r="D8" s="1">
        <v>16173.62</v>
      </c>
      <c r="E8" s="1">
        <v>16559.75</v>
      </c>
      <c r="F8" s="1">
        <v>15528.42</v>
      </c>
      <c r="G8" s="1">
        <v>17330.12</v>
      </c>
      <c r="H8" s="1">
        <v>16932.87</v>
      </c>
      <c r="I8" s="1">
        <v>16485.0</v>
      </c>
      <c r="J8" s="1">
        <v>16899.0</v>
      </c>
      <c r="K8" s="1">
        <v>16937.0</v>
      </c>
      <c r="L8" s="1">
        <v>19965.67</v>
      </c>
    </row>
    <row r="9">
      <c r="A9" s="1" t="s">
        <v>8</v>
      </c>
      <c r="B9" s="1">
        <v>20451.11</v>
      </c>
      <c r="C9" s="1">
        <v>16507.51</v>
      </c>
      <c r="D9" s="1">
        <v>18218.01</v>
      </c>
      <c r="E9" s="1">
        <v>18372.78</v>
      </c>
      <c r="F9" s="1">
        <v>18204.98</v>
      </c>
      <c r="G9" s="1">
        <v>19085.5</v>
      </c>
      <c r="H9" s="1">
        <v>19690.58</v>
      </c>
      <c r="I9" s="1">
        <v>18679.0</v>
      </c>
      <c r="J9" s="1">
        <v>19619.0</v>
      </c>
      <c r="K9" s="1">
        <v>20363.0</v>
      </c>
      <c r="L9" s="1">
        <v>23016.17</v>
      </c>
    </row>
    <row r="10">
      <c r="A10" s="1" t="s">
        <v>9</v>
      </c>
      <c r="B10" s="1">
        <v>3209.65</v>
      </c>
      <c r="C10" s="1">
        <v>2996.11</v>
      </c>
      <c r="D10" s="1">
        <v>3335.31</v>
      </c>
      <c r="E10" s="1">
        <v>3493.2</v>
      </c>
      <c r="F10" s="1">
        <v>3381.38</v>
      </c>
      <c r="G10" s="1">
        <v>3491.78</v>
      </c>
      <c r="H10" s="1">
        <v>3454.37</v>
      </c>
      <c r="I10" s="1">
        <v>3525.0</v>
      </c>
      <c r="J10" s="1">
        <v>3343.0</v>
      </c>
      <c r="K10" s="1">
        <v>3627.0</v>
      </c>
      <c r="L10" s="1">
        <v>4247.58</v>
      </c>
    </row>
    <row r="11">
      <c r="A11" s="1" t="s">
        <v>11</v>
      </c>
      <c r="B11" s="1">
        <v>11452.42</v>
      </c>
      <c r="C11" s="1">
        <v>11540.48</v>
      </c>
      <c r="D11" s="1">
        <v>12021.84</v>
      </c>
      <c r="E11" s="1">
        <v>13111.51</v>
      </c>
      <c r="F11" s="1">
        <v>12877.96</v>
      </c>
      <c r="G11" s="1">
        <v>13647.14</v>
      </c>
      <c r="H11" s="1">
        <v>13039.92</v>
      </c>
      <c r="I11" s="1">
        <v>11750.0</v>
      </c>
      <c r="J11" s="1">
        <v>10734.0</v>
      </c>
      <c r="K11" s="1">
        <v>10297.0</v>
      </c>
      <c r="L11" s="1">
        <v>10932.19</v>
      </c>
    </row>
    <row r="13">
      <c r="A13" s="1" t="s">
        <v>12</v>
      </c>
      <c r="B13" s="1" t="s">
        <v>14</v>
      </c>
      <c r="C13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47.56"/>
    <col customWidth="1" min="3" max="6" width="11.22"/>
  </cols>
  <sheetData>
    <row r="1">
      <c r="A1" s="2" t="s">
        <v>10</v>
      </c>
      <c r="B1" s="2" t="s">
        <v>13</v>
      </c>
    </row>
    <row r="2">
      <c r="A2" s="3">
        <v>2015.0</v>
      </c>
      <c r="B2" s="3">
        <v>1208.79</v>
      </c>
    </row>
    <row r="3">
      <c r="A3" s="3">
        <v>2016.0</v>
      </c>
      <c r="B3" s="3">
        <v>1201.04</v>
      </c>
    </row>
    <row r="4">
      <c r="A4" s="3">
        <v>2017.0</v>
      </c>
      <c r="B4" s="2"/>
    </row>
    <row r="5">
      <c r="A5" s="3">
        <v>2018.0</v>
      </c>
      <c r="B5" s="3">
        <v>1220.18</v>
      </c>
    </row>
    <row r="6">
      <c r="A6" s="3">
        <v>2019.0</v>
      </c>
      <c r="B6" s="3">
        <v>1145.64</v>
      </c>
    </row>
    <row r="7">
      <c r="A7" s="3">
        <v>2020.0</v>
      </c>
      <c r="B7" s="3">
        <v>2165.02</v>
      </c>
    </row>
    <row r="8">
      <c r="A8" s="3">
        <v>2021.0</v>
      </c>
      <c r="B8" s="3">
        <v>3097.41</v>
      </c>
    </row>
    <row r="9">
      <c r="A9" s="3">
        <v>2022.0</v>
      </c>
      <c r="B9" s="3">
        <v>1448.01</v>
      </c>
    </row>
    <row r="10">
      <c r="A10" s="3">
        <v>2023.0</v>
      </c>
      <c r="B10" s="3">
        <v>1625.36</v>
      </c>
    </row>
    <row r="11">
      <c r="A11" s="3">
        <v>2024.0</v>
      </c>
      <c r="B11" s="3">
        <v>1391.85</v>
      </c>
    </row>
    <row r="12">
      <c r="A12" s="3">
        <v>2025.0</v>
      </c>
      <c r="B12" s="3">
        <v>1267.07</v>
      </c>
    </row>
    <row r="16">
      <c r="B16" s="4" t="s">
        <v>16</v>
      </c>
      <c r="C16" s="8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47.11"/>
    <col customWidth="1" min="3" max="3" width="97.67"/>
    <col customWidth="1" min="4" max="6" width="11.22"/>
  </cols>
  <sheetData>
    <row r="1">
      <c r="A1" s="1" t="s">
        <v>10</v>
      </c>
      <c r="B1" s="1" t="s">
        <v>18</v>
      </c>
    </row>
    <row r="2">
      <c r="A2" s="1">
        <v>2015.0</v>
      </c>
    </row>
    <row r="3">
      <c r="A3" s="1">
        <v>2016.0</v>
      </c>
    </row>
    <row r="4">
      <c r="A4" s="1">
        <v>2017.0</v>
      </c>
    </row>
    <row r="5">
      <c r="A5" s="1">
        <v>2018.0</v>
      </c>
      <c r="B5" s="5">
        <v>1084.61</v>
      </c>
      <c r="C5" s="5"/>
      <c r="D5" s="5"/>
      <c r="E5" s="5"/>
      <c r="F5" s="5"/>
      <c r="G5" s="5"/>
      <c r="H5" s="5"/>
      <c r="I5" s="5"/>
    </row>
    <row r="6">
      <c r="A6" s="1">
        <v>2019.0</v>
      </c>
      <c r="B6" s="7">
        <v>1163.4</v>
      </c>
      <c r="C6" s="7"/>
      <c r="D6" s="7"/>
      <c r="E6" s="7"/>
      <c r="F6" s="7"/>
      <c r="G6" s="7"/>
      <c r="H6" s="7"/>
      <c r="I6" s="7"/>
    </row>
    <row r="7">
      <c r="A7" s="1">
        <v>2020.0</v>
      </c>
      <c r="B7" s="7">
        <v>1230.84</v>
      </c>
      <c r="C7" s="7"/>
      <c r="D7" s="7"/>
      <c r="E7" s="7"/>
      <c r="F7" s="7"/>
      <c r="G7" s="7"/>
      <c r="H7" s="7"/>
      <c r="I7" s="7"/>
    </row>
    <row r="8">
      <c r="A8" s="1">
        <v>2021.0</v>
      </c>
      <c r="B8" s="7">
        <v>2006.76</v>
      </c>
      <c r="C8" s="7"/>
      <c r="D8" s="7"/>
      <c r="E8" s="7"/>
      <c r="F8" s="7"/>
      <c r="G8" s="7"/>
      <c r="H8" s="7"/>
      <c r="I8" s="7"/>
    </row>
    <row r="9">
      <c r="A9" s="1">
        <v>2022.0</v>
      </c>
      <c r="B9" s="7">
        <v>2000.45</v>
      </c>
      <c r="C9" s="7"/>
      <c r="D9" s="7"/>
      <c r="E9" s="7"/>
      <c r="F9" s="7"/>
      <c r="G9" s="7"/>
      <c r="H9" s="7"/>
      <c r="I9" s="7"/>
    </row>
    <row r="10">
      <c r="A10" s="1">
        <v>2023.0</v>
      </c>
      <c r="B10" s="7">
        <v>2351.86</v>
      </c>
      <c r="C10" s="7"/>
      <c r="D10" s="7"/>
      <c r="E10" s="7"/>
      <c r="F10" s="7"/>
      <c r="G10" s="7"/>
      <c r="H10" s="7"/>
      <c r="I10" s="7"/>
    </row>
    <row r="11">
      <c r="A11" s="1">
        <v>2024.0</v>
      </c>
      <c r="B11" s="7">
        <v>2666.17</v>
      </c>
      <c r="C11" s="7"/>
      <c r="D11" s="7"/>
      <c r="E11" s="7"/>
      <c r="F11" s="7"/>
      <c r="G11" s="7"/>
      <c r="H11" s="7"/>
      <c r="I11" s="7"/>
    </row>
    <row r="12">
      <c r="A12" s="1">
        <v>2025.0</v>
      </c>
      <c r="B12" s="7">
        <v>2672.98</v>
      </c>
      <c r="C12" s="7"/>
      <c r="D12" s="7"/>
      <c r="E12" s="7"/>
      <c r="F12" s="7"/>
      <c r="G12" s="7"/>
      <c r="H12" s="7"/>
      <c r="I12" s="7"/>
    </row>
    <row r="15">
      <c r="B15" s="12" t="s">
        <v>27</v>
      </c>
      <c r="C15" s="14" t="s">
        <v>34</v>
      </c>
    </row>
    <row r="17">
      <c r="B17" s="16"/>
      <c r="C17" s="16"/>
      <c r="D17" s="16"/>
      <c r="E17" s="16"/>
      <c r="F17" s="16"/>
      <c r="G17" s="16"/>
      <c r="H17" s="16"/>
      <c r="I1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5"/>
  </hyperlinks>
  <drawing r:id="rId2"/>
  <tableParts count="3"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22"/>
    <col customWidth="1" min="2" max="2" width="33.89"/>
    <col customWidth="1" min="3" max="3" width="23.33"/>
    <col customWidth="1" min="4" max="6" width="11.22"/>
  </cols>
  <sheetData>
    <row r="1" ht="22.5" customHeight="1">
      <c r="A1" s="6" t="s">
        <v>19</v>
      </c>
      <c r="B1" s="6" t="s">
        <v>20</v>
      </c>
      <c r="C1" s="9" t="s">
        <v>21</v>
      </c>
      <c r="D1" s="10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35</v>
      </c>
      <c r="P1" s="10" t="s">
        <v>36</v>
      </c>
      <c r="Q1" s="10" t="s">
        <v>37</v>
      </c>
      <c r="R1" s="10" t="s">
        <v>12</v>
      </c>
    </row>
    <row r="2" ht="22.5" customHeight="1">
      <c r="A2" s="13">
        <v>1.0</v>
      </c>
      <c r="B2" s="15" t="s">
        <v>38</v>
      </c>
      <c r="C2" s="17" t="s">
        <v>39</v>
      </c>
      <c r="D2" s="18" t="s">
        <v>40</v>
      </c>
      <c r="E2" s="19">
        <f t="shared" ref="E2:O2" si="1">E3+E4</f>
        <v>6413735</v>
      </c>
      <c r="F2" s="19">
        <f t="shared" si="1"/>
        <v>6551294</v>
      </c>
      <c r="G2" s="19">
        <f t="shared" si="1"/>
        <v>6644412</v>
      </c>
      <c r="H2" s="19">
        <f t="shared" si="1"/>
        <v>7996959</v>
      </c>
      <c r="I2" s="19">
        <f t="shared" si="1"/>
        <v>20520104</v>
      </c>
      <c r="J2" s="19">
        <f t="shared" si="1"/>
        <v>19610135</v>
      </c>
      <c r="K2" s="19">
        <f t="shared" si="1"/>
        <v>22849394.5</v>
      </c>
      <c r="L2" s="19">
        <f t="shared" si="1"/>
        <v>25755726</v>
      </c>
      <c r="M2" s="19">
        <f t="shared" si="1"/>
        <v>30542580</v>
      </c>
      <c r="N2" s="19">
        <f t="shared" si="1"/>
        <v>38134536</v>
      </c>
      <c r="O2" s="19">
        <f t="shared" si="1"/>
        <v>40695654</v>
      </c>
      <c r="P2" s="18" t="s">
        <v>41</v>
      </c>
      <c r="Q2" s="20"/>
      <c r="R2" s="21"/>
    </row>
    <row r="3" ht="22.5" customHeight="1">
      <c r="A3" s="22"/>
      <c r="B3" s="23" t="s">
        <v>42</v>
      </c>
      <c r="C3" s="24" t="s">
        <v>43</v>
      </c>
      <c r="D3" s="25" t="s">
        <v>44</v>
      </c>
      <c r="E3" s="26">
        <v>6331609.0</v>
      </c>
      <c r="F3" s="26">
        <v>6436655.0</v>
      </c>
      <c r="G3" s="26">
        <v>6498739.0</v>
      </c>
      <c r="H3" s="26">
        <v>7858137.0</v>
      </c>
      <c r="I3" s="26">
        <v>2.0407076E7</v>
      </c>
      <c r="J3" s="26">
        <v>1.9591482E7</v>
      </c>
      <c r="K3" s="26">
        <v>2.2834E7</v>
      </c>
      <c r="L3" s="26">
        <v>2.574359E7</v>
      </c>
      <c r="M3" s="26">
        <v>3.0437069E7</v>
      </c>
      <c r="N3" s="26">
        <v>3.8030739E7</v>
      </c>
      <c r="O3" s="26">
        <v>4.0592837E7</v>
      </c>
      <c r="P3" s="25" t="s">
        <v>45</v>
      </c>
      <c r="Q3" s="27"/>
      <c r="R3" s="28"/>
    </row>
    <row r="4" ht="22.5" customHeight="1">
      <c r="A4" s="29"/>
      <c r="B4" s="30" t="s">
        <v>46</v>
      </c>
      <c r="C4" s="31" t="s">
        <v>43</v>
      </c>
      <c r="D4" s="32" t="s">
        <v>40</v>
      </c>
      <c r="E4" s="33">
        <v>82126.0</v>
      </c>
      <c r="F4" s="33">
        <v>114639.0</v>
      </c>
      <c r="G4" s="33">
        <v>145673.0</v>
      </c>
      <c r="H4" s="33">
        <v>138822.0</v>
      </c>
      <c r="I4" s="33">
        <v>113028.0</v>
      </c>
      <c r="J4" s="33">
        <v>18653.0</v>
      </c>
      <c r="K4" s="34">
        <f>J4+((L4-J4)/(2022-2020))* (2021-2020)</f>
        <v>15394.5</v>
      </c>
      <c r="L4" s="33">
        <v>12136.0</v>
      </c>
      <c r="M4" s="33">
        <v>105511.0</v>
      </c>
      <c r="N4" s="33">
        <v>103797.0</v>
      </c>
      <c r="O4" s="33">
        <v>102817.0</v>
      </c>
      <c r="P4" s="32" t="s">
        <v>47</v>
      </c>
      <c r="Q4" s="35"/>
      <c r="R4" s="3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4">
      <formula1>"Stock,Flow,Aux,Parameter,Data pendukung"</formula1>
    </dataValidation>
  </dataValidations>
  <drawing r:id="rId2"/>
  <legacyDrawing r:id="rId3"/>
  <tableParts count="1">
    <tablePart r:id="rId5"/>
  </tableParts>
</worksheet>
</file>