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3" sheetId="2" r:id="rId6"/>
    <sheet state="visible" name="Uji P3 Tanpa COVID" sheetId="3" r:id="rId7"/>
  </sheets>
  <definedNames/>
  <calcPr/>
</workbook>
</file>

<file path=xl/sharedStrings.xml><?xml version="1.0" encoding="utf-8"?>
<sst xmlns="http://schemas.openxmlformats.org/spreadsheetml/2006/main" count="78" uniqueCount="44">
  <si>
    <t>Tahun</t>
  </si>
  <si>
    <t>Tenaga Kerja (simulasi)</t>
  </si>
  <si>
    <t>Jumlah Wisatawan</t>
  </si>
  <si>
    <t>Tenaga Kerja (data)</t>
  </si>
  <si>
    <t>Galat</t>
  </si>
  <si>
    <t>Jumlah Hotel dan Akomodasi</t>
  </si>
  <si>
    <t>Mengambil otomatis dari sheet Uji P2, tanpa tahun 2020 dan 2021.</t>
  </si>
  <si>
    <t>Jumlah Objek Daya Tarik Wisata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</si>
  <si>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</si>
  <si>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</si>
  <si>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</si>
  <si>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</si>
  <si>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</si>
  <si>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</si>
  <si>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Statistik Barlas (1989) — termasuk tahun COVID (2016–2025, n = 10)</t>
  </si>
  <si>
    <t>Variabel</t>
  </si>
  <si>
    <t>Rata-rata data</t>
  </si>
  <si>
    <t>Rata-rata simulasi</t>
  </si>
  <si>
    <t>Simpangan baku data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</si>
  <si>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</si>
  <si>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</si>
  <si>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</si>
  <si>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</si>
  <si>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</si>
  <si>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</si>
  <si>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</si>
  <si>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</si>
  <si>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</si>
  <si>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</si>
  <si>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</si>
  <si>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</si>
  <si>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</si>
  <si>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</si>
  <si>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Kategori DC</t>
  </si>
  <si>
    <t>Kemiringan data</t>
  </si>
  <si>
    <t>Kemiringan simulasi</t>
  </si>
  <si>
    <t>Varians kemiringan data</t>
  </si>
  <si>
    <t>Statistik Barlas (1989) — tanpa tahun COVID (2016–2019, 2022–2025, n = 8)</t>
  </si>
  <si>
    <t>Varians kemiringan simulasi</t>
  </si>
  <si>
    <t>t hitung</t>
  </si>
  <si>
    <t>t tabel (α=0,05)</t>
  </si>
  <si>
    <t>Arah tren</t>
  </si>
  <si>
    <t>Status tren</t>
  </si>
  <si>
    <t>Tahun Covid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</si>
</sst>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Font="1"/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0" fillId="0" fontId="2" numFmtId="0" xfId="0" applyAlignment="1" applyFont="1">
      <alignment shrinkToFit="0" vertical="center" wrapText="0"/>
    </xf>
    <xf borderId="1" fillId="0" fontId="4" numFmtId="164" xfId="0" applyAlignment="1" applyBorder="1" applyFont="1" applyNumberForma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4" numFmtId="164" xfId="0" applyAlignment="1" applyBorder="1" applyFill="1" applyFont="1" applyNumberFormat="1">
      <alignment readingOrder="0" shrinkToFit="0" vertical="bottom" wrapText="0"/>
    </xf>
    <xf borderId="1" fillId="2" fontId="4" numFmtId="164" xfId="0" applyAlignment="1" applyBorder="1" applyFill="1" applyFont="1" applyNumberFormat="1">
      <alignment shrinkToFit="0" vertical="bottom" wrapText="0"/>
    </xf>
    <xf borderId="2" fillId="3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3" fontId="2" numFmtId="0" xfId="0" applyAlignment="1" applyBorder="1" applyFill="1" applyFont="1">
      <alignment horizontal="center" shrinkToFit="0" vertical="bottom" wrapText="0"/>
    </xf>
    <xf borderId="4" fillId="0" fontId="5" numFmtId="0" xfId="0" applyBorder="1" applyFont="1"/>
    <xf borderId="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Uji P3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3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3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2" name="Table2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3">
  <tableColumns count="4">
    <tableColumn name="Tahun" id="1"/>
    <tableColumn name="Tenaga Kerja (simulasi)" id="2"/>
    <tableColumn name="Tenaga Kerja (data)" id="3"/>
    <tableColumn name="Galat" id="4"/>
  </tableColumns>
  <tableStyleInfo name="Uji P3-style" showColumnStripes="0" showFirstColumn="1" showLastColumn="1" showRowStripes="1"/>
</table>
</file>

<file path=xl/tables/table3.xml><?xml version="1.0" encoding="utf-8"?>
<table xmlns="http://schemas.openxmlformats.org/spreadsheetml/2006/main" ref="A15:AA16" displayName="Table4" name="Table4" id="4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3-style 2" showColumnStripes="0" showFirstColumn="1" showLastColumn="1" showRowStripes="1"/>
</table>
</file>

<file path=xl/tables/table4.xml><?xml version="1.0" encoding="utf-8"?>
<table xmlns="http://schemas.openxmlformats.org/spreadsheetml/2006/main" ref="A1:D9" displayName="Table5" name="Table5" id="2">
  <tableColumns count="4">
    <tableColumn name="Tahun" id="1"/>
    <tableColumn name="Tenaga Kerja (simulasi)" id="2"/>
    <tableColumn name="Tenaga Kerja (data)" id="3"/>
    <tableColumn name="Galat" id="4"/>
  </tableColumns>
  <tableStyleInfo name="Uji P3 Tanpa COVID-style" showColumnStripes="0" showFirstColumn="1" showLastColumn="1" showRowStripes="1"/>
</table>
</file>

<file path=xl/tables/table5.xml><?xml version="1.0" encoding="utf-8"?>
<table xmlns="http://schemas.openxmlformats.org/spreadsheetml/2006/main" ref="A13:AA14" displayName="Table6" name="Table6" id="5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3 Tanpa COV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2" t="s">
        <v>0</v>
      </c>
      <c r="B1" s="2" t="s">
        <v>2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ht="22.5" customHeight="1">
      <c r="A2" s="6">
        <v>2015.0</v>
      </c>
      <c r="B2" s="6">
        <v>1.47499587543139E7</v>
      </c>
      <c r="C2" s="6">
        <v>1165.0</v>
      </c>
      <c r="D2" s="6">
        <v>165.0</v>
      </c>
      <c r="E2" s="6">
        <v>254537.0</v>
      </c>
      <c r="F2" s="6">
        <v>43037.0049074862</v>
      </c>
      <c r="G2" s="6">
        <v>34.89</v>
      </c>
      <c r="H2" s="6">
        <v>10131.09</v>
      </c>
      <c r="I2" s="6">
        <v>53.0896</v>
      </c>
      <c r="J2" s="6">
        <v>5698325.0</v>
      </c>
    </row>
    <row r="3" ht="22.5" customHeight="1">
      <c r="A3" s="6">
        <v>2016.0</v>
      </c>
      <c r="B3" s="6">
        <v>1.50663094573418E7</v>
      </c>
      <c r="C3" s="6">
        <v>1170.0</v>
      </c>
      <c r="D3" s="6">
        <v>158.0</v>
      </c>
      <c r="E3" s="6">
        <v>263878.0</v>
      </c>
      <c r="F3" s="6">
        <v>44561.0784555117</v>
      </c>
      <c r="G3" s="6">
        <v>37.72</v>
      </c>
      <c r="H3" s="6">
        <v>10694.03</v>
      </c>
      <c r="I3" s="6">
        <v>373.8424</v>
      </c>
      <c r="J3" s="6">
        <v>6097324.0</v>
      </c>
    </row>
    <row r="4" ht="22.5" customHeight="1">
      <c r="A4" s="6">
        <v>2017.0</v>
      </c>
      <c r="B4" s="6">
        <v>1.52804571667941E7</v>
      </c>
      <c r="C4" s="6">
        <v>1179.0</v>
      </c>
      <c r="D4" s="6">
        <v>171.0</v>
      </c>
      <c r="E4" s="6">
        <v>273563.0</v>
      </c>
      <c r="F4" s="6">
        <v>50223.957001398</v>
      </c>
      <c r="G4" s="6">
        <v>45.08</v>
      </c>
      <c r="H4" s="6">
        <v>11347.59</v>
      </c>
      <c r="I4" s="6">
        <v>165.3915</v>
      </c>
      <c r="J4" s="6">
        <v>1.08999E7</v>
      </c>
    </row>
    <row r="5" ht="22.5" customHeight="1">
      <c r="A5" s="6">
        <v>2018.0</v>
      </c>
      <c r="B5" s="6">
        <v>1.83909711595411E7</v>
      </c>
      <c r="C5" s="6">
        <v>1617.0</v>
      </c>
      <c r="D5" s="6">
        <v>177.0</v>
      </c>
      <c r="E5" s="6">
        <v>354684.0</v>
      </c>
      <c r="F5" s="6">
        <v>56624.3602289948</v>
      </c>
      <c r="G5" s="6">
        <v>45.11</v>
      </c>
      <c r="H5" s="6">
        <v>12100.99</v>
      </c>
      <c r="I5" s="6">
        <v>568.3341</v>
      </c>
      <c r="J5" s="6">
        <v>1.0293319E7</v>
      </c>
    </row>
    <row r="6" ht="22.5" customHeight="1">
      <c r="A6" s="6">
        <v>2019.0</v>
      </c>
      <c r="B6" s="6">
        <v>2.0520104E7</v>
      </c>
      <c r="C6" s="6">
        <v>1817.0</v>
      </c>
      <c r="D6" s="6">
        <v>189.0</v>
      </c>
      <c r="E6" s="6">
        <v>334784.0</v>
      </c>
      <c r="F6" s="6">
        <v>63480.0442236269</v>
      </c>
      <c r="G6" s="6">
        <v>45.34</v>
      </c>
      <c r="H6" s="6">
        <v>13104.38</v>
      </c>
      <c r="I6" s="6">
        <v>741.4483</v>
      </c>
      <c r="J6" s="6">
        <v>1.3363923E7</v>
      </c>
    </row>
    <row r="7" ht="22.5" customHeight="1">
      <c r="A7" s="11">
        <v>2020.0</v>
      </c>
      <c r="B7" s="11">
        <v>1.9610135E7</v>
      </c>
      <c r="C7" s="11">
        <v>1848.0</v>
      </c>
      <c r="D7" s="11">
        <v>180.0</v>
      </c>
      <c r="E7" s="11">
        <v>313840.0</v>
      </c>
      <c r="F7" s="11">
        <v>58962.0411105434</v>
      </c>
      <c r="G7" s="11">
        <v>28.9</v>
      </c>
      <c r="H7" s="11">
        <v>10926.83</v>
      </c>
      <c r="I7" s="11">
        <v>489.6932</v>
      </c>
      <c r="J7" s="11">
        <v>4753098.0</v>
      </c>
    </row>
    <row r="8" ht="22.5" customHeight="1">
      <c r="A8" s="11">
        <v>2021.0</v>
      </c>
      <c r="B8" s="11">
        <v>2.28493945E7</v>
      </c>
      <c r="C8" s="11">
        <v>1696.0</v>
      </c>
      <c r="D8" s="11">
        <v>170.0</v>
      </c>
      <c r="E8" s="11">
        <v>310755.0</v>
      </c>
      <c r="F8" s="11">
        <v>59887.5260314565</v>
      </c>
      <c r="G8" s="11">
        <v>27.48</v>
      </c>
      <c r="H8" s="11">
        <v>12097.19</v>
      </c>
      <c r="I8" s="11">
        <v>848.8042</v>
      </c>
      <c r="J8" s="11">
        <v>7379577.0</v>
      </c>
    </row>
    <row r="9" ht="22.5" customHeight="1">
      <c r="A9" s="6">
        <v>2022.0</v>
      </c>
      <c r="B9" s="6">
        <v>2.5755726E7</v>
      </c>
      <c r="C9" s="6">
        <v>1818.0</v>
      </c>
      <c r="D9" s="6">
        <v>183.0</v>
      </c>
      <c r="E9" s="6">
        <v>395284.0</v>
      </c>
      <c r="F9" s="6">
        <v>57709.075808398</v>
      </c>
      <c r="G9" s="6">
        <v>44.99</v>
      </c>
      <c r="H9" s="6">
        <v>13672.58</v>
      </c>
      <c r="I9" s="6">
        <v>463.5886</v>
      </c>
      <c r="J9" s="6">
        <v>9267217.0</v>
      </c>
    </row>
    <row r="10" ht="22.5" customHeight="1">
      <c r="A10" s="6">
        <v>2023.0</v>
      </c>
      <c r="B10" s="6">
        <v>3.054258E7</v>
      </c>
      <c r="C10" s="6">
        <v>1820.0</v>
      </c>
      <c r="D10" s="6">
        <v>201.0</v>
      </c>
      <c r="E10" s="6">
        <v>359340.0</v>
      </c>
      <c r="F10" s="6">
        <v>75624.403529316</v>
      </c>
      <c r="G10" s="6">
        <v>44.77</v>
      </c>
      <c r="H10" s="6">
        <v>14809.2</v>
      </c>
      <c r="I10" s="6">
        <v>1175.2552</v>
      </c>
      <c r="J10" s="6">
        <v>1.1417702E7</v>
      </c>
    </row>
    <row r="11" ht="22.5" customHeight="1">
      <c r="A11" s="6">
        <v>2024.0</v>
      </c>
      <c r="B11" s="6">
        <v>3.8134536E7</v>
      </c>
      <c r="C11" s="6">
        <v>2000.0</v>
      </c>
      <c r="D11" s="6">
        <v>218.0</v>
      </c>
      <c r="E11" s="6">
        <v>350946.0</v>
      </c>
      <c r="F11" s="6">
        <v>73511.574651116</v>
      </c>
      <c r="G11" s="6">
        <v>42.17</v>
      </c>
      <c r="H11" s="6">
        <v>15873.81</v>
      </c>
      <c r="I11" s="6">
        <v>712.2835</v>
      </c>
      <c r="J11" s="6">
        <v>1.150354E7</v>
      </c>
    </row>
    <row r="12" ht="22.5" customHeight="1">
      <c r="A12" s="6">
        <v>2025.0</v>
      </c>
      <c r="B12" s="6">
        <v>4.0695654E7</v>
      </c>
      <c r="C12" s="6">
        <v>2291.0</v>
      </c>
      <c r="D12" s="6">
        <v>201.0</v>
      </c>
      <c r="E12" s="6">
        <v>364994.0</v>
      </c>
      <c r="F12" s="6">
        <v>55029.5352961885</v>
      </c>
      <c r="G12" s="6">
        <v>38.07</v>
      </c>
      <c r="H12" s="6">
        <v>16947.62</v>
      </c>
      <c r="I12" s="6">
        <v>1325.950399</v>
      </c>
      <c r="J12" s="6">
        <v>1.1954114E7</v>
      </c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ht="15.75" customHeight="1">
      <c r="A15" s="17" t="s">
        <v>43</v>
      </c>
      <c r="B15" s="18"/>
      <c r="C15" s="16"/>
      <c r="D15" s="16"/>
      <c r="E15" s="16"/>
      <c r="F15" s="16"/>
      <c r="G15" s="16"/>
      <c r="H15" s="16"/>
      <c r="I15" s="16"/>
      <c r="J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1.13"/>
    <col customWidth="1" min="7" max="18" width="14.0"/>
    <col customWidth="1" min="19" max="25" width="22.75"/>
    <col customWidth="1" min="26" max="26" width="14.0"/>
    <col customWidth="1" min="27" max="27" width="17.38"/>
  </cols>
  <sheetData>
    <row r="1" ht="31.5" customHeight="1">
      <c r="A1" s="1" t="s">
        <v>0</v>
      </c>
      <c r="B1" s="1" t="s">
        <v>1</v>
      </c>
      <c r="C1" s="1" t="s">
        <v>3</v>
      </c>
      <c r="D1" s="1" t="s">
        <v>4</v>
      </c>
    </row>
    <row r="2" ht="22.5" customHeight="1">
      <c r="A2" s="4">
        <v>2016.0</v>
      </c>
      <c r="B2" s="5">
        <v>263878.0</v>
      </c>
      <c r="C2" s="4">
        <f>'Data Pembanding'!E3</f>
        <v>263878</v>
      </c>
      <c r="D2" s="7">
        <f t="shared" ref="D2:D11" si="1">B2-C2</f>
        <v>0</v>
      </c>
    </row>
    <row r="3" ht="22.5" customHeight="1">
      <c r="A3" s="4">
        <v>2017.0</v>
      </c>
      <c r="B3" s="5">
        <v>255962.0</v>
      </c>
      <c r="C3" s="4">
        <f>'Data Pembanding'!E4</f>
        <v>273563</v>
      </c>
      <c r="D3" s="7">
        <f t="shared" si="1"/>
        <v>-17601</v>
      </c>
    </row>
    <row r="4" ht="22.5" customHeight="1">
      <c r="A4" s="4">
        <v>2018.0</v>
      </c>
      <c r="B4" s="5">
        <v>266913.0</v>
      </c>
      <c r="C4" s="4">
        <f>'Data Pembanding'!E5</f>
        <v>354684</v>
      </c>
      <c r="D4" s="7">
        <f t="shared" si="1"/>
        <v>-87771</v>
      </c>
    </row>
    <row r="5" ht="22.5" customHeight="1">
      <c r="A5" s="4">
        <v>2019.0</v>
      </c>
      <c r="B5" s="5">
        <v>281515.0</v>
      </c>
      <c r="C5" s="4">
        <f>'Data Pembanding'!E6</f>
        <v>334784</v>
      </c>
      <c r="D5" s="7">
        <f t="shared" si="1"/>
        <v>-53269</v>
      </c>
    </row>
    <row r="6" ht="22.5" customHeight="1">
      <c r="A6" s="8">
        <v>2020.0</v>
      </c>
      <c r="B6" s="9">
        <v>301516.0</v>
      </c>
      <c r="C6" s="4">
        <f>'Data Pembanding'!E7</f>
        <v>313840</v>
      </c>
      <c r="D6" s="10">
        <f t="shared" si="1"/>
        <v>-12324</v>
      </c>
    </row>
    <row r="7" ht="22.5" customHeight="1">
      <c r="A7" s="8">
        <v>2021.0</v>
      </c>
      <c r="B7" s="9">
        <v>292471.0</v>
      </c>
      <c r="C7" s="4">
        <f>'Data Pembanding'!E8</f>
        <v>310755</v>
      </c>
      <c r="D7" s="10">
        <f t="shared" si="1"/>
        <v>-18284</v>
      </c>
    </row>
    <row r="8" ht="22.5" customHeight="1">
      <c r="A8" s="4">
        <v>2022.0</v>
      </c>
      <c r="B8" s="5">
        <v>283696.0</v>
      </c>
      <c r="C8" s="4">
        <f>'Data Pembanding'!E9</f>
        <v>395284</v>
      </c>
      <c r="D8" s="7">
        <f t="shared" si="1"/>
        <v>-111588</v>
      </c>
    </row>
    <row r="9" ht="22.5" customHeight="1">
      <c r="A9" s="4">
        <v>2023.0</v>
      </c>
      <c r="B9" s="5">
        <v>304359.0</v>
      </c>
      <c r="C9" s="4">
        <f>'Data Pembanding'!E10</f>
        <v>359340</v>
      </c>
      <c r="D9" s="7">
        <f t="shared" si="1"/>
        <v>-54981</v>
      </c>
    </row>
    <row r="10" ht="22.5" customHeight="1">
      <c r="A10" s="4">
        <v>2024.0</v>
      </c>
      <c r="B10" s="5">
        <v>326048.0</v>
      </c>
      <c r="C10" s="4">
        <f>'Data Pembanding'!E11</f>
        <v>350946</v>
      </c>
      <c r="D10" s="7">
        <f t="shared" si="1"/>
        <v>-24898</v>
      </c>
    </row>
    <row r="11" ht="22.5" customHeight="1">
      <c r="A11" s="4">
        <v>2025.0</v>
      </c>
      <c r="B11" s="5">
        <v>345656.0</v>
      </c>
      <c r="C11" s="4">
        <f>'Data Pembanding'!E12</f>
        <v>364994</v>
      </c>
      <c r="D11" s="7">
        <f t="shared" si="1"/>
        <v>-19338</v>
      </c>
    </row>
    <row r="13">
      <c r="A13" s="12" t="s">
        <v>14</v>
      </c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22.5" customHeight="1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34</v>
      </c>
      <c r="U15" s="1" t="s">
        <v>35</v>
      </c>
      <c r="V15" s="1" t="s">
        <v>36</v>
      </c>
      <c r="W15" s="1" t="s">
        <v>38</v>
      </c>
      <c r="X15" s="1" t="s">
        <v>39</v>
      </c>
      <c r="Y15" s="1" t="s">
        <v>40</v>
      </c>
      <c r="Z15" s="1" t="s">
        <v>41</v>
      </c>
      <c r="AA15" s="1" t="s">
        <v>42</v>
      </c>
    </row>
    <row r="16" ht="22.5" customHeight="1">
      <c r="A16" s="14" t="s">
        <v>8</v>
      </c>
      <c r="B16" s="15">
        <f>AVERAGE(C2:C11)</f>
        <v>332206.8</v>
      </c>
      <c r="C16" s="15">
        <f>AVERAGE(B2:B11)</f>
        <v>292201.4</v>
      </c>
      <c r="D16" s="15">
        <f>_xlfn.STDEV.P(C2:C11)</f>
        <v>39444.14727</v>
      </c>
      <c r="E16" s="15">
        <f>_xlfn.STDEV.P(B2:B11)</f>
        <v>26793.99473</v>
      </c>
      <c r="F16" s="15">
        <f>CORREL(C2:C11,B2:B11)</f>
        <v>0.5173754355</v>
      </c>
      <c r="G16" s="15">
        <f>ABS(C16-B16)/ABS(B16)</f>
        <v>0.1204231822</v>
      </c>
      <c r="H16" s="15">
        <f>ABS(E16-D16)/D16</f>
        <v>0.3207105087</v>
      </c>
      <c r="I16" s="15">
        <f>_xlfn.STDEV.P(D2:D11)/(D16+E16)</f>
        <v>0.518636808</v>
      </c>
      <c r="J16" s="15">
        <f>(C16-B16)^2</f>
        <v>1600432029</v>
      </c>
      <c r="K16" s="15">
        <f>(E16-D16)^2</f>
        <v>160026359.2</v>
      </c>
      <c r="L16" s="15">
        <f>2*(1-F16)*E16*D16</f>
        <v>1020139250</v>
      </c>
      <c r="M16" s="15">
        <f>J16/(J16+K16+L16)</f>
        <v>0.5755712394</v>
      </c>
      <c r="N16" s="15">
        <f>K16/(J16+K16+L16)</f>
        <v>0.05755106634</v>
      </c>
      <c r="O16" s="15">
        <f>L16/(J16+K16+L16)</f>
        <v>0.3668776943</v>
      </c>
      <c r="P16" s="15">
        <f>SUMPRODUCT(ABS(D2:D11/C2:C11))/COUNT(C2:C11)</f>
        <v>0.1128253557</v>
      </c>
      <c r="Q16" s="19" t="str">
        <f>IF(G16&lt;=0.05,"Lolos","Tidak")</f>
        <v>Tidak</v>
      </c>
      <c r="R16" s="19" t="str">
        <f>IF(H16&lt;=0.3,"Lolos","Tidak")</f>
        <v>Tidak</v>
      </c>
      <c r="S16" s="19" t="str">
        <f>IF(I16&lt;0.4,"Baik",IF(I16&lt;=0.7,"Cukup","Kurang"))</f>
        <v>Cukup</v>
      </c>
      <c r="T16" s="15">
        <f>SLOPE(C2:C11,A2:A11)</f>
        <v>10020.72727</v>
      </c>
      <c r="U16" s="15">
        <f>SLOPE(B2:B11,A2:A11)</f>
        <v>8553.527273</v>
      </c>
      <c r="V16" s="15">
        <f>STEYX(C2:C11,A2:A11)^2/DEVSQ(A2:A11)</f>
        <v>11021472.87</v>
      </c>
      <c r="W16" s="15">
        <f>STEYX(B2:B11,A2:A11)^2/DEVSQ(A2:A11)</f>
        <v>1732194.182</v>
      </c>
      <c r="X16" s="15">
        <f>ABS(U16-T16)/SQRT(V16+W16)</f>
        <v>0.410839111</v>
      </c>
      <c r="Y16" s="15">
        <f>_xlfn.T.INV.2T(0.05,2*COUNT(A2:A11)-4)</f>
        <v>2.119905299</v>
      </c>
      <c r="Z16" s="19" t="str">
        <f>IF(SIGN(T16)=SIGN(U16),"Sama","Berlawanan")</f>
        <v>Sama</v>
      </c>
      <c r="AA16" s="19" t="str">
        <f>IF(Z16="Berlawanan","Berlawanan arah",IF(X16&lt;=Y16,"Tidak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11 B16:P16 T16:Y1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7.38"/>
    <col customWidth="1" min="7" max="18" width="14.0"/>
    <col customWidth="1" min="19" max="23" width="23.88"/>
    <col customWidth="1" min="24" max="26" width="14.0"/>
    <col customWidth="1" min="27" max="27" width="17.38"/>
  </cols>
  <sheetData>
    <row r="1" ht="31.5" customHeight="1">
      <c r="A1" s="1" t="s">
        <v>0</v>
      </c>
      <c r="B1" s="1" t="s">
        <v>1</v>
      </c>
      <c r="C1" s="1" t="s">
        <v>3</v>
      </c>
      <c r="D1" s="1" t="s">
        <v>4</v>
      </c>
      <c r="F1" s="3" t="s">
        <v>6</v>
      </c>
    </row>
    <row r="2" ht="22.5" customHeight="1">
      <c r="A2" s="4">
        <f>'Uji P3'!A2</f>
        <v>2016</v>
      </c>
      <c r="B2" s="7">
        <f>'Uji P3'!B2</f>
        <v>263878</v>
      </c>
      <c r="C2" s="4">
        <f>'Uji P3'!C2</f>
        <v>263878</v>
      </c>
      <c r="D2" s="7">
        <f t="shared" ref="D2:D9" si="1">B2-C2</f>
        <v>0</v>
      </c>
    </row>
    <row r="3" ht="22.5" customHeight="1">
      <c r="A3" s="4">
        <f>'Uji P3'!A3</f>
        <v>2017</v>
      </c>
      <c r="B3" s="7">
        <f>'Uji P3'!B3</f>
        <v>255962</v>
      </c>
      <c r="C3" s="4">
        <f>'Uji P3'!C3</f>
        <v>273563</v>
      </c>
      <c r="D3" s="7">
        <f t="shared" si="1"/>
        <v>-17601</v>
      </c>
    </row>
    <row r="4" ht="22.5" customHeight="1">
      <c r="A4" s="4">
        <f>'Uji P3'!A4</f>
        <v>2018</v>
      </c>
      <c r="B4" s="7">
        <f>'Uji P3'!B4</f>
        <v>266913</v>
      </c>
      <c r="C4" s="4">
        <f>'Uji P3'!C4</f>
        <v>354684</v>
      </c>
      <c r="D4" s="7">
        <f t="shared" si="1"/>
        <v>-87771</v>
      </c>
    </row>
    <row r="5" ht="22.5" customHeight="1">
      <c r="A5" s="4">
        <f>'Uji P3'!A5</f>
        <v>2019</v>
      </c>
      <c r="B5" s="7">
        <f>'Uji P3'!B5</f>
        <v>281515</v>
      </c>
      <c r="C5" s="4">
        <f>'Uji P3'!C5</f>
        <v>334784</v>
      </c>
      <c r="D5" s="7">
        <f t="shared" si="1"/>
        <v>-53269</v>
      </c>
    </row>
    <row r="6" ht="22.5" customHeight="1">
      <c r="A6" s="4">
        <f>'Uji P3'!A8</f>
        <v>2022</v>
      </c>
      <c r="B6" s="7">
        <f>'Uji P3'!B8</f>
        <v>283696</v>
      </c>
      <c r="C6" s="4">
        <f>'Uji P3'!C8</f>
        <v>395284</v>
      </c>
      <c r="D6" s="7">
        <f t="shared" si="1"/>
        <v>-111588</v>
      </c>
    </row>
    <row r="7" ht="22.5" customHeight="1">
      <c r="A7" s="4">
        <f>'Uji P3'!A9</f>
        <v>2023</v>
      </c>
      <c r="B7" s="7">
        <f>'Uji P3'!B9</f>
        <v>304359</v>
      </c>
      <c r="C7" s="4">
        <f>'Uji P3'!C9</f>
        <v>359340</v>
      </c>
      <c r="D7" s="7">
        <f t="shared" si="1"/>
        <v>-54981</v>
      </c>
    </row>
    <row r="8" ht="22.5" customHeight="1">
      <c r="A8" s="4">
        <f>'Uji P3'!A10</f>
        <v>2024</v>
      </c>
      <c r="B8" s="7">
        <f>'Uji P3'!B10</f>
        <v>326048</v>
      </c>
      <c r="C8" s="4">
        <f>'Uji P3'!C10</f>
        <v>350946</v>
      </c>
      <c r="D8" s="7">
        <f t="shared" si="1"/>
        <v>-24898</v>
      </c>
    </row>
    <row r="9" ht="22.5" customHeight="1">
      <c r="A9" s="4">
        <f>'Uji P3'!A11</f>
        <v>2025</v>
      </c>
      <c r="B9" s="7">
        <f>'Uji P3'!B11</f>
        <v>345656</v>
      </c>
      <c r="C9" s="4">
        <f>'Uji P3'!C11</f>
        <v>364994</v>
      </c>
      <c r="D9" s="7">
        <f t="shared" si="1"/>
        <v>-19338</v>
      </c>
    </row>
    <row r="11">
      <c r="A11" s="12" t="s">
        <v>37</v>
      </c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22.5" customHeight="1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34</v>
      </c>
      <c r="U13" s="1" t="s">
        <v>35</v>
      </c>
      <c r="V13" s="1" t="s">
        <v>36</v>
      </c>
      <c r="W13" s="1" t="s">
        <v>38</v>
      </c>
      <c r="X13" s="1" t="s">
        <v>39</v>
      </c>
      <c r="Y13" s="1" t="s">
        <v>40</v>
      </c>
      <c r="Z13" s="1" t="s">
        <v>41</v>
      </c>
      <c r="AA13" s="1" t="s">
        <v>42</v>
      </c>
    </row>
    <row r="14" ht="22.5" customHeight="1">
      <c r="A14" s="14" t="s">
        <v>8</v>
      </c>
      <c r="B14" s="15">
        <f>AVERAGE(C2:C9)</f>
        <v>337184.125</v>
      </c>
      <c r="C14" s="15">
        <f>AVERAGE(B2:B9)</f>
        <v>291003.375</v>
      </c>
      <c r="D14" s="15">
        <f>_xlfn.STDEV.P(C2:C9)</f>
        <v>42665.41099</v>
      </c>
      <c r="E14" s="15">
        <f>_xlfn.STDEV.P(B2:B9)</f>
        <v>29750.76673</v>
      </c>
      <c r="F14" s="15">
        <f>CORREL(C2:C9,B2:B9)</f>
        <v>0.5605849979</v>
      </c>
      <c r="G14" s="15">
        <f>ABS(C14-B14)/ABS(B14)</f>
        <v>0.1369600363</v>
      </c>
      <c r="H14" s="15">
        <f>ABS(E14-D14)/D14</f>
        <v>0.3026958831</v>
      </c>
      <c r="I14" s="15">
        <f>_xlfn.STDEV.P(D2:D9)/(D14+E14)</f>
        <v>0.494494294</v>
      </c>
      <c r="J14" s="15">
        <f>(C14-B14)^2</f>
        <v>2132661671</v>
      </c>
      <c r="K14" s="15">
        <f>(E14-D14)^2</f>
        <v>166788036.3</v>
      </c>
      <c r="L14" s="15">
        <f>2*(1-F14)*E14*D14</f>
        <v>1115524138</v>
      </c>
      <c r="M14" s="15">
        <f>J14/(J14+K14+L14)</f>
        <v>0.6245030761</v>
      </c>
      <c r="N14" s="15">
        <f>K14/(J14+K14+L14)</f>
        <v>0.04884020899</v>
      </c>
      <c r="O14" s="15">
        <f>L14/(J14+K14+L14)</f>
        <v>0.3266567149</v>
      </c>
      <c r="P14" s="15">
        <f>SUMPRODUCT(ABS(D2:D9/C2:C9))/COUNT(C2:C9)</f>
        <v>0.128768474</v>
      </c>
      <c r="Q14" s="19" t="str">
        <f>IF(G14&lt;=0.05,"Lolos","Tidak")</f>
        <v>Tidak</v>
      </c>
      <c r="R14" s="19" t="str">
        <f>IF(H14&lt;=0.3,"Lolos","Tidak")</f>
        <v>Tidak</v>
      </c>
      <c r="S14" s="19" t="str">
        <f>IF(I14&lt;0.4,"Baik",IF(I14&lt;=0.7,"Cukup","Kurang"))</f>
        <v>Cukup</v>
      </c>
      <c r="T14" s="15">
        <f>SLOPE(C2:C9,A2:A9)</f>
        <v>10100.64024</v>
      </c>
      <c r="U14" s="15">
        <f>SLOPE(B2:B9,A2:A9)</f>
        <v>8660.835366</v>
      </c>
      <c r="V14" s="15">
        <f>STEYX(C2:C9,A2:A9)^2/DEVSQ(A2:A9)</f>
        <v>12595158.18</v>
      </c>
      <c r="W14" s="15">
        <f>STEYX(B2:B9,A2:A9)^2/DEVSQ(A2:A9)</f>
        <v>1890323.761</v>
      </c>
      <c r="X14" s="15">
        <f>ABS(U14-T14)/SQRT(V14+W14)</f>
        <v>0.3783007185</v>
      </c>
      <c r="Y14" s="15">
        <f>_xlfn.T.INV.2T(0.05,2*COUNT(A2:A9)-4)</f>
        <v>2.17881283</v>
      </c>
      <c r="Z14" s="19" t="str">
        <f>IF(SIGN(T14)=SIGN(U14),"Sama","Berlawanan")</f>
        <v>Sama</v>
      </c>
      <c r="AA14" s="19" t="str">
        <f>IF(Z14="Berlawanan","Berlawanan arah",IF(X14&lt;=Y14,"Tidak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9 B14:P14 T14:Y14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