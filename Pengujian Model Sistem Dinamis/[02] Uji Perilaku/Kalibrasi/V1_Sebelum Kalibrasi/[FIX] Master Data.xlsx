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<sst xmlns="http://schemas.openxmlformats.org/spreadsheetml/2006/main" count="1084" uniqueCount="494">
  <si>
    <t>52 Kategori PDRB Lapus</t>
  </si>
  <si>
    <t>[Seri 2010] Produk Domestik Regional Bruto Menurut Lapangan Usaha Tahunan (Miliar Rupiah) Provinsi Daerah Istimewa Yogyakarta</t>
  </si>
  <si>
    <t>Harga Berlaku</t>
  </si>
  <si>
    <t>Harga Konstan 2010</t>
  </si>
  <si>
    <t>KBLI 2 Digit</t>
  </si>
  <si>
    <t>A. Pertanian, Kehutanan, dan Perikanan</t>
  </si>
  <si>
    <t>2015</t>
  </si>
  <si>
    <t>No</t>
  </si>
  <si>
    <t>2016</t>
  </si>
  <si>
    <t>2017</t>
  </si>
  <si>
    <t>1. Pertanian, Peternakan, Perburuan dan Jasa Pertanian</t>
  </si>
  <si>
    <t>Variabel Offstat</t>
  </si>
  <si>
    <t>2018</t>
  </si>
  <si>
    <t>a. Tanaman Pangan</t>
  </si>
  <si>
    <t>Peran Dalam Model</t>
  </si>
  <si>
    <t>2019</t>
  </si>
  <si>
    <t>2020</t>
  </si>
  <si>
    <t>Satuan</t>
  </si>
  <si>
    <t>b. Tanaman Hortikultura</t>
  </si>
  <si>
    <t>2021</t>
  </si>
  <si>
    <t>2022</t>
  </si>
  <si>
    <t>Level Ketersediaan</t>
  </si>
  <si>
    <t>2023</t>
  </si>
  <si>
    <t>c. Tanaman Perkebunan</t>
  </si>
  <si>
    <t>2024</t>
  </si>
  <si>
    <t>Periode Update</t>
  </si>
  <si>
    <t>2025</t>
  </si>
  <si>
    <t>Landasan Teoritis OffStat</t>
  </si>
  <si>
    <t>d. Peternakan</t>
  </si>
  <si>
    <t>Bisa Di intervensi Pemerintah?</t>
  </si>
  <si>
    <t>Grand Total</t>
  </si>
  <si>
    <t>Sudah Terkumpul</t>
  </si>
  <si>
    <t>Data Citra atau Geospasial</t>
  </si>
  <si>
    <t>Landasan Teoriris Citra Satelit</t>
  </si>
  <si>
    <t>e. Jasa Pertanian dan Perburuan</t>
  </si>
  <si>
    <t>00 - Bidang Usaha Lainnya</t>
  </si>
  <si>
    <t>Sudah Terkumpul?</t>
  </si>
  <si>
    <t>2. Kehutanan dan Penebangan</t>
  </si>
  <si>
    <t>Jumlah Wisatawan</t>
  </si>
  <si>
    <t>Stock</t>
  </si>
  <si>
    <t>3. Perikanan</t>
  </si>
  <si>
    <t>Kab/Kota, Provinsi (Nusantara)
Provinsi (Mancanegara)</t>
  </si>
  <si>
    <t>Sumber</t>
  </si>
  <si>
    <t>Bulanan, Tahunan</t>
  </si>
  <si>
    <t>Link Sumber</t>
  </si>
  <si>
    <t>Tidak</t>
  </si>
  <si>
    <t>B. Pertambangan dan Penggalian</t>
  </si>
  <si>
    <t>Catatan</t>
  </si>
  <si>
    <t>Temuan</t>
  </si>
  <si>
    <t>1. Pertambangan Minyak, Gas dan Panas Bumi</t>
  </si>
  <si>
    <t>-</t>
  </si>
  <si>
    <t>2. Pertambangan Batu Bara dan Lignit</t>
  </si>
  <si>
    <t>Kunjungan</t>
  </si>
  <si>
    <t>3. Pertambangan Bijih Logam</t>
  </si>
  <si>
    <t>Jumlah Hotel dan Akomodasi</t>
  </si>
  <si>
    <t>Kab/Kota, Provinsi</t>
  </si>
  <si>
    <t>Tahunan</t>
  </si>
  <si>
    <t>4. Pertambangan dan Penggalian Lainnya</t>
  </si>
  <si>
    <t>Bisa</t>
  </si>
  <si>
    <t>01 - Pertanian Tanaman, Peternakan, Perburuan Dan Kegiatan Ybdi</t>
  </si>
  <si>
    <t>C. Industri Pengolahan</t>
  </si>
  <si>
    <t>1. Industri Batubara dan Pengilangan Migas</t>
  </si>
  <si>
    <t>2. Industri Makanan dan Minuman</t>
  </si>
  <si>
    <t>Jumlah Objek Daya Tarik Wisata</t>
  </si>
  <si>
    <t>3. Industri Pengolahan Tembakau</t>
  </si>
  <si>
    <t>4. Industri Tekstil dan Pakaian Jadi</t>
  </si>
  <si>
    <t>Publikasi wisatawan mancanegara dan nusantara</t>
  </si>
  <si>
    <t>5. Industri Kulit, Barang dari Kulit dan Alas Kaki</t>
  </si>
  <si>
    <t>Tenaga Kerja Pariwisata</t>
  </si>
  <si>
    <t>6. Industri Kayu, Barang dari Kayu dan Gabus dan Barang Anyaman dari Bambu, Rotan dan Sejenisnya</t>
  </si>
  <si>
    <t>Provinsi</t>
  </si>
  <si>
    <t>02 - Pengelolaan Kehutanan Dan Penebangan</t>
  </si>
  <si>
    <t>7. Industri Kertas dan Barang dari Kertas, Percetakan dan Reproduksi Media Rekaman</t>
  </si>
  <si>
    <t>Jumlah Wisatawan Nusantara</t>
  </si>
  <si>
    <t>8. Industri Kimia, Farmasi dan Obat Tradisional</t>
  </si>
  <si>
    <t>Data pendukung</t>
  </si>
  <si>
    <t>Perjalanan</t>
  </si>
  <si>
    <t>9. Industri Karet, Barang dari Karet dan Plastik</t>
  </si>
  <si>
    <t>10. Industri Barang Galian bukan Logam</t>
  </si>
  <si>
    <t>11. Industri Logam Dasar</t>
  </si>
  <si>
    <t>Lahan Terbangun</t>
  </si>
  <si>
    <t>Publikasi wisatawan nusantara</t>
  </si>
  <si>
    <t>12. Industri Barang Logam, Komputer, Barang Elektronik, Optik, dan Peralatan Listrik</t>
  </si>
  <si>
    <t>03 - Perikanan</t>
  </si>
  <si>
    <t>13. Industri Mesin dan Perlengkapan</t>
  </si>
  <si>
    <t>14. Industri Alat Angkutan</t>
  </si>
  <si>
    <t>Laju Kedatangan Wisatawan</t>
  </si>
  <si>
    <t>Jumlah Wisatawan Mancanegara</t>
  </si>
  <si>
    <t>Flow</t>
  </si>
  <si>
    <t>15. Industri Furnitur</t>
  </si>
  <si>
    <t>N/A (Model-Generated)</t>
  </si>
  <si>
    <t>N/A (endogen)</t>
  </si>
  <si>
    <t>16. Industri Pengolahan Lainnya, Jasa Reparasi dan Pemasangan Mesin dan Peralatan</t>
  </si>
  <si>
    <t>D. Pengadaan Listrik dan Gas</t>
  </si>
  <si>
    <t>1. Ketenagalistrikan</t>
  </si>
  <si>
    <t>Laju Penurunan Wisatawan</t>
  </si>
  <si>
    <t>2. Pengadaan Gas dan Produksi Es</t>
  </si>
  <si>
    <t>05 - Pertambangan Batu Bara Dan Lignit</t>
  </si>
  <si>
    <t>E. Pengadaan Air, Pengelolaan Sampah, Limbah dan Daur Ulang</t>
  </si>
  <si>
    <t>F. Konstruksi</t>
  </si>
  <si>
    <t>Laju Konstruksi Hotel dan Akomodasi</t>
  </si>
  <si>
    <t>G. Perdagangan Besar dan Eceran; Reparasi Mobil dan Sepeda Motor</t>
  </si>
  <si>
    <t>Publikasi wisatawan mancanegara</t>
  </si>
  <si>
    <t>1. Perdagangan Mobil, Sepeda Motor dan Reparasinya</t>
  </si>
  <si>
    <t>2. Perdagangan Besar dan Eceran, Bukan Mobil dan Sepeda Motor</t>
  </si>
  <si>
    <t>Jumlah Hotel dan Akomodasi Lainnya</t>
  </si>
  <si>
    <t>Laju Demolisi Hotel dan Akomodasi</t>
  </si>
  <si>
    <t>Unit Akomodasi</t>
  </si>
  <si>
    <t>H. Transportasi dan Pergudangan</t>
  </si>
  <si>
    <t>06 - Pertambangan Minyak Bumi Dan Gas Alam Dan Panas Bumi</t>
  </si>
  <si>
    <t>Laju Pembangunan/Penambahan ODTW</t>
  </si>
  <si>
    <t>Publikasi Statistik Hotel dan Akomodasi Lainnya, BPS</t>
  </si>
  <si>
    <t>Laju Penutupan ODTW</t>
  </si>
  <si>
    <t>Jumlah Hotel Bintang</t>
  </si>
  <si>
    <t>07 - Pertambangan Bijih Logam</t>
  </si>
  <si>
    <t>Laju Penyerapan Tenaga Kerja Pariwisata</t>
  </si>
  <si>
    <t>Sterman (2000) — stock management</t>
  </si>
  <si>
    <t>Laju Keluar Tenaga Kerja Pariwisata</t>
  </si>
  <si>
    <t>08 - Pertambangan Dan Penggalian Lainnya</t>
  </si>
  <si>
    <t>Laju Konversi Lahan Pariwisata ke Lahan Terbangun</t>
  </si>
  <si>
    <t>1. Angkutan Rel</t>
  </si>
  <si>
    <t>2. Angkutan Darat</t>
  </si>
  <si>
    <t>09 - Aktivitas Jasa Penunjang Pertambangan</t>
  </si>
  <si>
    <t>3. Angkutan Laut</t>
  </si>
  <si>
    <t>4. Angkutan Sungai, Danau, dan Penyeberangan</t>
  </si>
  <si>
    <t>5. Angkutan Udara</t>
  </si>
  <si>
    <t>PDRB Pariwisata</t>
  </si>
  <si>
    <t>Aux</t>
  </si>
  <si>
    <t>Triwulanan, Tahunan</t>
  </si>
  <si>
    <t>Jumlah Hoten non bintang dan akomodasi lainnya</t>
  </si>
  <si>
    <t>6. Pergudangan dan Jasa Penunjang Angkutan, Pos dan Kurir</t>
  </si>
  <si>
    <t>10 - Industri Makanan</t>
  </si>
  <si>
    <t>Total Malam Menginap</t>
  </si>
  <si>
    <t>I. Penyediaan Akomodasi dan Makan Minum</t>
  </si>
  <si>
    <t>1. Penyedia Akomodasi</t>
  </si>
  <si>
    <t>Unit</t>
  </si>
  <si>
    <t>Pengeluaran Wisatawan</t>
  </si>
  <si>
    <t>2. Penyediaan Makan Minum</t>
  </si>
  <si>
    <t>11 - Industri Minuman</t>
  </si>
  <si>
    <r>
      <rPr/>
      <t xml:space="preserve">1. </t>
    </r>
    <r>
      <rPr>
        <color rgb="FF1155CC"/>
        <u/>
      </rPr>
      <t>https://ejurnalunsam.id/index.php/jseb/article/view/11105/5315</t>
    </r>
  </si>
  <si>
    <t>J. Informasi dan Komunikasi</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</si>
  <si>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</si>
  <si>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</si>
  <si>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K. Jasa Keuangan dan Asuransi</t>
  </si>
  <si>
    <t>12 - Industri Pengolahan Tembakau</t>
  </si>
  <si>
    <t>1. Jasa Perantara Keuangan</t>
  </si>
  <si>
    <t>2. Asuransi dan Dana Pensiun</t>
  </si>
  <si>
    <t>Tingkat Penghunian Kamar (TPK)</t>
  </si>
  <si>
    <t>3. Jasa Keuangan Lainnya</t>
  </si>
  <si>
    <t>Wheaton &amp; Rossoff (1998); definisi TPK BPS</t>
  </si>
  <si>
    <t>13 - Industri Tekstil</t>
  </si>
  <si>
    <t>4. Jasa Penunjang Keuangan</t>
  </si>
  <si>
    <t>Jumlah Objek Wisata (DDA)</t>
  </si>
  <si>
    <t>L. Real Estat</t>
  </si>
  <si>
    <t>Objek</t>
  </si>
  <si>
    <t>Investasi Sektor Pariwisata</t>
  </si>
  <si>
    <t>Provinsi (BKPM)</t>
  </si>
  <si>
    <t>14 - Industri Pakaian Jadi</t>
  </si>
  <si>
    <t>M,N. Jasa Perusahaan</t>
  </si>
  <si>
    <t>O. Administrasi Pemerintahan, Pertahanan dan Jaminan Sosial Wajib</t>
  </si>
  <si>
    <t>Daya Tarik Destinasi Wisata</t>
  </si>
  <si>
    <t>Publikasi Daerah Istimewa Yogyakarta Dalam Angka, BPS</t>
  </si>
  <si>
    <t>Sterman (2000) dan Ritchie &amp; Crouch (2003)</t>
  </si>
  <si>
    <r>
      <rPr>
        <u/>
      </rPr>
      <t>https://yogyakarta.bps.go.id/id/publication/2026/02/27/77355be26097c9f6197b0ef9/provinsi-di-yogyakarta-dalam-angka-2026.html</t>
    </r>
    <r>
      <rPr/>
      <t xml:space="preserve"> </t>
    </r>
  </si>
  <si>
    <t>P. Jasa Pendidikan</t>
  </si>
  <si>
    <t>15 - Industri Kulit, Barang Dari Kulit Dan Alas Kaki</t>
  </si>
  <si>
    <t>Kepadatan Wisatawan</t>
  </si>
  <si>
    <t>Q. Jasa Kesehatan dan Kegiatan Sosial</t>
  </si>
  <si>
    <t>McElroy &amp; de Albuquerque (1998) dan Butler (1980)</t>
  </si>
  <si>
    <t>Tenaga Kerja Pariwisata (Kemenpar)</t>
  </si>
  <si>
    <t>R,S,T,U. Jasa Lainnya</t>
  </si>
  <si>
    <t>Jiwa</t>
  </si>
  <si>
    <t>Produk Domestik Regional Bruto</t>
  </si>
  <si>
    <t>Rasio Daya Dukung Lahan</t>
  </si>
  <si>
    <t>16 - Industri Kayu, Barang Dari Kayu Dan Gabus (Tidak Termasuk Furnitur) Dan Barang Anyaman Dari Bambu, Rotan Dan Sejenisnya</t>
  </si>
  <si>
    <t>Intensitas Tenaga Kerja</t>
  </si>
  <si>
    <t>Kementerian Pariwisata</t>
  </si>
  <si>
    <r>
      <rPr>
        <u/>
      </rPr>
      <t>https://satudata.kemenpar.go.id/dataset/jumlah-tenaga-kerja-pariwisata</t>
    </r>
    <r>
      <rPr/>
      <t xml:space="preserve"> </t>
    </r>
  </si>
  <si>
    <t>OECD (2001); ILO KILM (output per worker)</t>
  </si>
  <si>
    <t>17 - Industri Kertas Dan Barang Dari Kertas</t>
  </si>
  <si>
    <t>Tenaga Kerja Dibutuhkan</t>
  </si>
  <si>
    <t>Tenaga Kerja (ODTW) *tidak usah dipakai</t>
  </si>
  <si>
    <t>Hamermesh (1993) — permintaan tenaga kerja turunan</t>
  </si>
  <si>
    <t>18 - Industri Pencetakan Dan Reproduksi Media Rekaman</t>
  </si>
  <si>
    <t>Rasio Permintaan terhadap Kapasitas Kamar</t>
  </si>
  <si>
    <t>Sterman 2000 — stock management</t>
  </si>
  <si>
    <t>19 - Industri Produk Dari Batu Bara Dan Pengilangan Minyak Bumi</t>
  </si>
  <si>
    <t>Publikasi Objek Daya Tarik Wisata, BPS</t>
  </si>
  <si>
    <t>https://www.bps.go.id/id/publication/2024/12/20/ebca1af66c31bbdf2b912be9/statistik-objek-daya-tarik-wisata-2023.html</t>
  </si>
  <si>
    <t>Rata-rata lama menginap tamu</t>
  </si>
  <si>
    <t>Parameter</t>
  </si>
  <si>
    <t>20 - Industri Bahan Kimia Dan Barang Dari Bahan Kimia</t>
  </si>
  <si>
    <t>Laju Pertumbuhan Eksternal (Wisatawan)</t>
  </si>
  <si>
    <t>derivasi dari data provinsi</t>
  </si>
  <si>
    <t>Tahunan (kalibrasi)</t>
  </si>
  <si>
    <t>Tenaga Kerja (Based on KBLI I &amp; R,S,T,U)</t>
  </si>
  <si>
    <t>21 - Industri Farmasi, Produk Obat Kimia Dan Obat Tradisional</t>
  </si>
  <si>
    <t>Pengeluaran per Kunjungan</t>
  </si>
  <si>
    <t>Nasional (sumbernya BPS RI)</t>
  </si>
  <si>
    <t>22 - Industri Karet, Barang Dari Karet Dan Plastik</t>
  </si>
  <si>
    <t>Rasio Nilai Tambah Pariwisata</t>
  </si>
  <si>
    <t>Nasional</t>
  </si>
  <si>
    <t>Periodik</t>
  </si>
  <si>
    <t>Sensitivitas Konstruksi terhadap TPK</t>
  </si>
  <si>
    <t>23 - Industri Barang Galian Bukan Logam</t>
  </si>
  <si>
    <t>TPK Ambang</t>
  </si>
  <si>
    <t>24 - Industri Logam Dasar</t>
  </si>
  <si>
    <t>Laju Demolisi Dasar</t>
  </si>
  <si>
    <t>asumsi (triangulasi rujukan dan data provinsi)</t>
  </si>
  <si>
    <t>laju keluar = 1 ÷ rata-rata umur (Sterman, 2000, Bab 6), sama seperti Laju Penutupan Dasar ODTW.</t>
  </si>
  <si>
    <r>
      <rPr>
        <u/>
      </rPr>
      <t>https://yogyakarta.bps.go.id/id/publication/2025/02/28/62dc9b4620317fb350b9ba3e/provinsi-daerah-istimewa-yogyakarta-dalam-angka-2025.html</t>
    </r>
    <r>
      <rPr/>
      <t xml:space="preserve"> </t>
    </r>
  </si>
  <si>
    <t>Rasio Investasi terhadap PDRB</t>
  </si>
  <si>
    <t>investasi sebagai proporsi tetap dari output, seperti dalam model pertumbuhan Harrod-Domar. Di SD ini adalah bentuk paling sederhana dari loop ekonomi–investasi (R2).</t>
  </si>
  <si>
    <t>25 - Industri Barang Logam, Bukan Mesin Dan Peralatannya</t>
  </si>
  <si>
    <t>Insentif Kebijakan</t>
  </si>
  <si>
    <t>ditetapkan per skenario</t>
  </si>
  <si>
    <t>Tetap per skenario</t>
  </si>
  <si>
    <t xml:space="preserve">Tenaga Kerja (G, H, I, J, K, L, N, P, R (atau R,S) </t>
  </si>
  <si>
    <t>26 - Industri Komputer, Barang Elektronik Dan Optik</t>
  </si>
  <si>
    <t>Intensitas Tenaga Kerja Awal</t>
  </si>
  <si>
    <t>derivasi dari data provinsi (tahun dasar 2025)</t>
  </si>
  <si>
    <t>Tetap (tahun dasar)</t>
  </si>
  <si>
    <t>OECD (2001); koefisien tenaga kerja (Tabel Input-Output BPS)</t>
  </si>
  <si>
    <t>27 - Industri Peralatan Listrik</t>
  </si>
  <si>
    <t>Laju Keluar Dasar Tenaga Kerja</t>
  </si>
  <si>
    <t>asumsi (rujukan teori)</t>
  </si>
  <si>
    <t>28 - Industri Mesin Dan Perlengkapan Ytdl</t>
  </si>
  <si>
    <t>Sensitivitas ODTW terhadap Investasi</t>
  </si>
  <si>
    <t>29 - Industri Kendaraan Bermotor, Trailer Dan Semi Trailer</t>
  </si>
  <si>
    <t>Laju Pembangunan ODTW Non Investasi</t>
  </si>
  <si>
    <t>30 - Industri Alat Angkutan Lainnya</t>
  </si>
  <si>
    <t>Laju Penutupan Dasar ODTW</t>
  </si>
  <si>
    <r>
      <rPr>
        <u/>
      </rPr>
      <t>https://yogyakarta.bps.go.id/id/publication/2025/02/28/62dc9b4620317fb350b9ba3e/provinsi-daerah-istimewa-yogyakarta-dalam-angka-2025.html</t>
    </r>
    <r>
      <rPr/>
      <t xml:space="preserve"> </t>
    </r>
  </si>
  <si>
    <t>31 - Industri Furnitur</t>
  </si>
  <si>
    <t>Lahan Terbangun (DynamicWorld)</t>
  </si>
  <si>
    <t>Hektar</t>
  </si>
  <si>
    <t>Bobot ODTW</t>
  </si>
  <si>
    <t>asumsi (uji perilaku model)</t>
  </si>
  <si>
    <t>Tetap (uji sensitivitas)</t>
  </si>
  <si>
    <t>32 - Industri Pengolahan Lainnya</t>
  </si>
  <si>
    <t>Bobot Kepadatan</t>
  </si>
  <si>
    <t>33 - Reparasi Dan Pemasangan Mesin Dan Peralatan</t>
  </si>
  <si>
    <t>Bobot Daya Dukung Lahan</t>
  </si>
  <si>
    <t>Data Citra Dynamic world - Built Up Area</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</si>
  <si>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</si>
  <si>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35 - Pengadaan Listrik, Gas, Uap/Air Panas Dan Udara Dingin</t>
  </si>
  <si>
    <t>ODTW Referensi</t>
  </si>
  <si>
    <t>Lahan Terbangun (BPS)</t>
  </si>
  <si>
    <t>36 - Treatment Air</t>
  </si>
  <si>
    <t>Kepadatan Referensi</t>
  </si>
  <si>
    <t>BPS, Lahan Bukan Pertanian (jalan pemukiman, perkantoran, dll), tahun 2017-2019 itu dari publikasi DLHK DIY sumber yang tercantumnya dari BPS DIY)</t>
  </si>
  <si>
    <t>Rasio Daya Dukung Lahan Referensi</t>
  </si>
  <si>
    <t>37 - Treatment Air Limbah</t>
  </si>
  <si>
    <r>
      <rPr>
        <u/>
      </rPr>
      <t>https://yogyakarta.bps.go.id/id/statistics-table/2/MjM3IzI=/luas-penggunaan-lahan-pertanian-dan-bukan-pertanian-di-d-i--yogyakarta--hektar-.html</t>
    </r>
    <r>
      <rPr/>
      <t xml:space="preserve"> 
https://dlhk.jogjaprov.go.id/wp-content/uploads/2025/03/Buku-Data-IKPLHD-DIY-2019.pdf  </t>
    </r>
  </si>
  <si>
    <t>Lahan per Hotel</t>
  </si>
  <si>
    <t>38 - Pengumpulan, Treatment Dan Pembuangan Limbah Dan Sampah Serta Aktivitas Pemulihan Material</t>
  </si>
  <si>
    <t>asumsi (diuji sensitivitas)</t>
  </si>
  <si>
    <t>Lahan Terbangun (DLHK DIY)</t>
  </si>
  <si>
    <t>39 - Aktivitas Remediasi Dan Pengelolaan Limbah Dan Sampah Lainnya</t>
  </si>
  <si>
    <t>Langkah 1 — Pertumbuhan sebelum patahan (2015–2018), memakai metode lama yang konsisten:</t>
  </si>
  <si>
    <t>Lahan per ODTW</t>
  </si>
  <si>
    <t>g_pra = (Wisatawan 2018 ÷ Wisatawan 2015)^(1/3) − 1</t>
  </si>
  <si>
    <t>Badan Lingkungan Hidup DIY</t>
  </si>
  <si>
    <t>7.63% / tahun</t>
  </si>
  <si>
    <t>https://dlhk.jogjaprov.go.id/ikplhd/</t>
  </si>
  <si>
    <t>Langkah 2 — Pertumbuhan setelah patahan (2021–2025), memakai metode baru, dan sengaja dimulai 2021 supaya tahun COVID tidak ikut:</t>
  </si>
  <si>
    <t>41 - Konstruksi Gedung</t>
  </si>
  <si>
    <t>g_pasca = (Wisatawan 2025 ÷ Wisatawan 2021)^(1/4) − 1</t>
  </si>
  <si>
    <t>Tingkat Penghunian Ganda Kamar</t>
  </si>
  <si>
    <t>15.52% / tahun</t>
  </si>
  <si>
    <t>Langkah 3 — Pertumbuhan wajar 2018→2019, diasumsikan rata-rata keduanya:</t>
  </si>
  <si>
    <t>g_wajar = (g_pra + g_pasca) ÷ 2</t>
  </si>
  <si>
    <t>Kunjungan/Tahun</t>
  </si>
  <si>
    <t>11.58% / tahun</t>
  </si>
  <si>
    <t>Langkah 4 — Lompatan total:</t>
  </si>
  <si>
    <t>Wisatawan 2019 ÷ Wisatawan 2018</t>
  </si>
  <si>
    <t>42 - Konstruksi Bangunan Sipil</t>
  </si>
  <si>
    <t>Malam Tamu Menginap</t>
  </si>
  <si>
    <t>Langkah 5 — Faktor sambung:</t>
  </si>
  <si>
    <t>Data Pendukung</t>
  </si>
  <si>
    <t>Faktor = Lompatan total/(1+g_wajar)</t>
  </si>
  <si>
    <t>Langkah 6 — Kalikan data 2015–2018:</t>
  </si>
  <si>
    <t>Tahun</t>
  </si>
  <si>
    <t>43 - Konstruksi Khusus</t>
  </si>
  <si>
    <t>Data Asli</t>
  </si>
  <si>
    <t>Seri Sambungan</t>
  </si>
  <si>
    <t>Jumlah Wisatawan Menginap</t>
  </si>
  <si>
    <t>pertumbuhan 2015–2018 = 7,63%</t>
  </si>
  <si>
    <t>Diolah dengan identitas stock-flow: Δstok + flow keluar</t>
  </si>
  <si>
    <t>45 - Perdagangan, Reparasi Dan Perawatan Mobil Dan Sepeda Motor</t>
  </si>
  <si>
    <t>2021–2025 = 15,52%</t>
  </si>
  <si>
    <t>Jumlah Kamar</t>
  </si>
  <si>
    <t>Seri tersirat, bukan observasi. Di model: Jumlah Wisatawan × Laju Pertumbuhan Eksternal × Daya Tarik. Nilai 2019 dipengaruhi patahan metode data wisatawan nusantara BPS.</t>
  </si>
  <si>
    <t>46 - Perdagangan Besar, Bukan Mobil Dan Sepeda Motor</t>
  </si>
  <si>
    <t>lompatan 2018→2019 = 156,6%</t>
  </si>
  <si>
    <t>Laju Penurunan Dasar</t>
  </si>
  <si>
    <t>faktor = 2,2997</t>
  </si>
  <si>
    <t>Malam tersedia Per Kamar</t>
  </si>
  <si>
    <t>47 - Perdagangan Eceran, Bukan Mobil Dan Motor</t>
  </si>
  <si>
    <t>Proporsi Wisatawan Menginap</t>
  </si>
  <si>
    <t>49 - Angkutan Darat Dan Angkutan Melalui Saluran Pipa</t>
  </si>
  <si>
    <t>Diolah: parameter laju × stok tahun sebelumnya</t>
  </si>
  <si>
    <t>Keluar orde pertama (Sterman, 2000). Menggambarkan berkurangnya tingkat kunjungan tahunan.</t>
  </si>
  <si>
    <t>Luas Lahan Tersedia</t>
  </si>
  <si>
    <t>Tetap</t>
  </si>
  <si>
    <t>50 - Angkutan Perairan</t>
  </si>
  <si>
    <t>Unit Akomodasi/Tahun</t>
  </si>
  <si>
    <t>Rata-rata Kamar Per Unit Akomodasi</t>
  </si>
  <si>
    <t>51 - Angkutan Udara</t>
  </si>
  <si>
    <t>Laju Konversi Lahan Non-Pariwisata</t>
  </si>
  <si>
    <t>52 - Pergudangan Dan Aktivitas Penunjang Angkutan</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</si>
  <si>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</si>
  <si>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</si>
  <si>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Laju Konversi Dasar</t>
  </si>
  <si>
    <t>53 - Aktivitas Pos Dan Kurir</t>
  </si>
  <si>
    <t>Kebijakan Konservasi Lahan</t>
  </si>
  <si>
    <t>55 - Penyediaan Akomodasi</t>
  </si>
  <si>
    <t>Keluar orde pertama; rata-rata umur operasi akomodasi ±20 tahun.</t>
  </si>
  <si>
    <t>Elastisitas Daya Tarik ODTW</t>
  </si>
  <si>
    <t>Unit/Tahun</t>
  </si>
  <si>
    <t>56 - Penyediaan Makanan Dan Minuman</t>
  </si>
  <si>
    <t>Laju Kenaikan Produktivitas</t>
  </si>
  <si>
    <t>Kapsos (2005); Baumol (1967)</t>
  </si>
  <si>
    <t>Diolah dengan identitas stock-flow: ΔODTW + Laju Penutupan Dasar ODTW × ODTW tahun sebelumnya</t>
  </si>
  <si>
    <t>Seri tersirat. Di model: Investasi × Sensitivitas ODTW terhadap Investasi + Laju Pembangunan ODTW Non Investasi. Nilai negatif 2025 menunjukkan penutupan di atas laju rata-rata</t>
  </si>
  <si>
    <t>Waktu Penyesuaian Tenaga Kerja</t>
  </si>
  <si>
    <t>asumsi (struktur stock management)</t>
  </si>
  <si>
    <t>Sterman (2000); Forrester (1961)</t>
  </si>
  <si>
    <t>58 - Aktivitas Penerbitan</t>
  </si>
  <si>
    <t>Batas Maksimum Efek ODTW</t>
  </si>
  <si>
    <t>Sterman (2000) — fungsi efek jenuh</t>
  </si>
  <si>
    <t>59 - Aktivitas Produksi Gambar Bergerak, Video Dan Program Televisi, Perekaman Suara Dan Penerbitan Musik</t>
  </si>
  <si>
    <t>Tahun Dasar Intensitas Tenaga Kerja (2025, Tahun)</t>
  </si>
  <si>
    <t>Keluar orde pertama; rata-rata umur usaha ODTW ±20 tahun.</t>
  </si>
  <si>
    <t>60 - Aktivitas Penyiaran Dan Pemrograman</t>
  </si>
  <si>
    <t>Jiwa/Tahun</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</si>
  <si>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</si>
  <si>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</si>
  <si>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</si>
  <si>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Sudah</t>
  </si>
  <si>
    <t>61 - Telekomunikasi</t>
  </si>
  <si>
    <t>Belom</t>
  </si>
  <si>
    <t>62 - Aktivitas Pemrograman, Konsultasi Komputer Dan Kegiatan Ybdi</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</si>
  <si>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</si>
  <si>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63 - Aktivitas Jasa Informasi</t>
  </si>
  <si>
    <t>64 - Aktivitas Jasa Keuangan, Bukan Asuransi Dan Dana Pensiun</t>
  </si>
  <si>
    <t>Keluar orde pertama; masa kerja rata-rata ±34 tahun.</t>
  </si>
  <si>
    <t>Hektar/Tahun</t>
  </si>
  <si>
    <t>66 - Aktivitas Penunjang Jasa Keuangan, Asuransi, Penjaminan Dan Dana Pensiun</t>
  </si>
  <si>
    <t>PDRB Sektor Pariwisata</t>
  </si>
  <si>
    <t>Diolah dari seri konstruksi hotel dan pembangunan ODTW tersirat × Lahan per Hotel dan Lahan per ODTW</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</si>
  <si>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</si>
  <si>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68 - Real Estat</t>
  </si>
  <si>
    <t>PDRB ADHK Pariwisata (I &amp; R,S,T,U)</t>
  </si>
  <si>
    <t>Miliar Rupiah</t>
  </si>
  <si>
    <t>69 - Aktivitas Hukum Dan Akuntansi</t>
  </si>
  <si>
    <t>70 - Aktivitas Kantor Pusat Dan Konsultasi Manajemen</t>
  </si>
  <si>
    <t>71 - Aktivitas Arsitektur Dan Keinsinyuran; Analisis Dan Uji Teknis</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</si>
  <si>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</si>
  <si>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</si>
  <si>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72 - Penelitian Dan Pengembangan Ilmu Pengetahuan</t>
  </si>
  <si>
    <t>PDRB ADHK Pariwisata (G, H, I, J, K, L, N, P, R (atau R,S))</t>
  </si>
  <si>
    <t>Milliar Rupiah</t>
  </si>
  <si>
    <t>73 - Periklanan Dan Penelitian Pasar</t>
  </si>
  <si>
    <t>74 - Aktivitas Profesional, Ilmiah Dan Teknis Lainnya</t>
  </si>
  <si>
    <t>75 - Aktivitas Kesehatan Hewan</t>
  </si>
  <si>
    <t>77 - Aktivitas Penyewaan Dan Sewa Guna Usaha Tanpa Hak Opsi</t>
  </si>
  <si>
    <t>78 - Aktivitas Ketenagakerjaan</t>
  </si>
  <si>
    <t>Tahun Covid</t>
  </si>
  <si>
    <t>79 - Aktivitas Agen Perjalanan, Penyelenggara Tur Dan Jasa Reservasi Lainnya</t>
  </si>
  <si>
    <r>
      <rPr>
        <u/>
      </rPr>
      <t>https://yogyakarta.bps.go.id/id/statistics-table/3/VWtsTFNuRlpabk16TWxKaVNXcE1PRXhKT0RJclFUMDkjMyMzNDAw/produk-domestik-regional-bruto-atas-dasar-harga-konstan-2010-menurut-lapangan-usaha-di-provinsi-di-yogyakarta--miliar-rupiah-.html?year=2025</t>
    </r>
    <r>
      <rPr/>
      <t xml:space="preserve"> </t>
    </r>
  </si>
  <si>
    <t>Malam</t>
  </si>
  <si>
    <t>80 - Aktivitas Keamanan Dan Penyelidikan</t>
  </si>
  <si>
    <t>Publikasi Tingkat Penghunian Kamar</t>
  </si>
  <si>
    <t>81 - Aktivitas Penyedia Jasa Untuk Gedung Dan Pertamanan</t>
  </si>
  <si>
    <t>https://yogyakarta.bps.go.id/id/publication/2026/07/27/3fead412fd5e3b779ba60710/tingkat-penghunian-kamar-hotel-daerah-istimewa-yogyakarta-2025.html</t>
  </si>
  <si>
    <t>82 - Aktivitas Administrasi Kantor, Aktivitas Penunjang Kantor Dan Aktivitas Penunjang Usaha Lainnya</t>
  </si>
  <si>
    <t>Diolah</t>
  </si>
  <si>
    <t>84 - Administrasi Pemerintahan, Pertahanan Dan Jaminan Sosial Wajib</t>
  </si>
  <si>
    <t>Pengeluaran per Perjalanan Wisatawan Nusantara</t>
  </si>
  <si>
    <t>Ribu Rupiah</t>
  </si>
  <si>
    <t>85 - Pendidikan</t>
  </si>
  <si>
    <t>Publikasi Statistik Wisatawan Nusantara</t>
  </si>
  <si>
    <r>
      <rPr>
        <u/>
      </rPr>
      <t>https://www.bps.go.id/id/publication/2026/04/30/06948320ebe75b7678b09c56/statistik-wisatawan-nusantara-2025.html</t>
    </r>
    <r>
      <rPr/>
      <t xml:space="preserve"> </t>
    </r>
  </si>
  <si>
    <t>86 - Aktivitas Kesehatan Manusia</t>
  </si>
  <si>
    <t>88 - Aktivitas Sosial Tanpa Akomodasi</t>
  </si>
  <si>
    <t>90 - Aktivitas Hiburan, Kesenian Dan Kreativitas</t>
  </si>
  <si>
    <t>Persen</t>
  </si>
  <si>
    <t>Publikasi Tingkat Penghunian Kamar, BPS</t>
  </si>
  <si>
    <t>91 - Perpustakaan, Arsip, Museum Dan Kegiatan Kebudayaan Lainnya</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</si>
  <si>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</si>
  <si>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93 - Aktivitas Olahraga Dan Rekreasi Lainnya</t>
  </si>
  <si>
    <t>94 - Aktivitas Keanggotaan Organisasi</t>
  </si>
  <si>
    <t>95 - Reparasi Komputer Dan Barang Keperluan Pribadi Dan Perlengkapan Rumah Tangga</t>
  </si>
  <si>
    <t>96 - Aktivitas Jasa Perorangan Lainnya</t>
  </si>
  <si>
    <t>97 - Aktivitas Rumah Tangga Sebagai Pemberi Kerja Dari Personil Domestik</t>
  </si>
  <si>
    <t xml:space="preserve">BKPM </t>
  </si>
  <si>
    <r>
      <rPr>
        <u/>
      </rPr>
      <t>https://data.bkpm.go.id/visualisasi-detail/perkembangan-realisasi-investasi-oLSgf7G</t>
    </r>
    <r>
      <rPr/>
      <t xml:space="preserve"> </t>
    </r>
  </si>
  <si>
    <t>98 - Aktivitas Yang Menghasilkan Barang Dan Jasa Oleh Rumah Tangga Yang Digunakan Untuk Memenuhi Kebutuhan Sendiri</t>
  </si>
  <si>
    <t>Dmnl</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</si>
  <si>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</si>
  <si>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</si>
  <si>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</si>
  <si>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</si>
  <si>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</si>
  <si>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</si>
  <si>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Nilai 2015 merupakan turunan ekstrapolasi Lahan Terbangun, model dibatasi minimum nol.</t>
  </si>
  <si>
    <t>Jiwa/Miliar Rupiah</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</si>
  <si>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</si>
  <si>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</si>
  <si>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</si>
  <si>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</si>
  <si>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</si>
  <si>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</si>
  <si>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Malam/Orang</t>
  </si>
  <si>
    <t>1/Tahun</t>
  </si>
  <si>
    <t>Data Diolah</t>
  </si>
  <si>
    <t>seberapa besar potensi permintaan baru tiap tahun, dipengaruhi tren pariwisata di luar kendali DIY.
g = pertumbuhan 2024–2025, karena data sebelum 2019 terpengaruh perubahan metode dan 2020–2024 merupakan masa pemulihan pandemi; sebanding dengan target Renstra Kemenpar (6,6–8,0% per tahun). Rasio Laju Penurunan Dasar ÷ Laju Pertumbuhan Eksternal = 0,75 merupakan asumsi struktural; diuji sensitivitas 0,6 dan 0,9.</t>
  </si>
  <si>
    <t>Miliar Rupiah/Kunjungan</t>
  </si>
  <si>
    <t>BPS RI</t>
  </si>
  <si>
    <t>pakai nilai 2025 sebagai parameter konstan di model, dan simpan seri tahunannya di master data untuk keperluan behavioral test serta dokumentasi di Bab III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</si>
  <si>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</si>
  <si>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</si>
  <si>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</si>
  <si>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</si>
  <si>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</si>
  <si>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</si>
  <si>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</si>
  <si>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</si>
  <si>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</si>
  <si>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</si>
  <si>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</si>
  <si>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</si>
  <si>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</si>
  <si>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</si>
  <si>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</si>
  <si>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</si>
  <si>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</si>
  <si>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</si>
  <si>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</si>
  <si>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</si>
  <si>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</si>
  <si>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</si>
  <si>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</si>
  <si>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</si>
  <si>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</si>
  <si>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</si>
  <si>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</si>
  <si>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</si>
  <si>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</si>
  <si>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</si>
  <si>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</si>
  <si>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</si>
  <si>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</si>
  <si>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</si>
  <si>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</si>
  <si>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</si>
  <si>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</si>
  <si>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</si>
  <si>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</si>
  <si>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</si>
  <si>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</si>
  <si>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</si>
  <si>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</si>
  <si>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</si>
  <si>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</si>
  <si>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seberapa besar permintaan yang hilang tiap tahun.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</si>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</sst>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color theme="1"/>
      <name val="Arial"/>
      <scheme val="minor"/>
    </font>
    <font>
      <sz val="12.0"/>
      <color theme="1"/>
      <name val="Calibri"/>
    </font>
    <font>
      <sz val="9.0"/>
      <color theme="1"/>
      <name val="Arial"/>
    </font>
    <font>
      <b/>
      <color theme="1"/>
      <name val="Arial"/>
      <scheme val="minor"/>
    </font>
    <font>
      <sz val="9.0"/>
      <color rgb="FF000000"/>
      <name val="Arial"/>
    </font>
    <font>
      <b/>
      <sz val="12.0"/>
      <color theme="1"/>
      <name val="Calibri"/>
    </font>
    <font>
      <u/>
      <color rgb="FF0000FF"/>
      <name val="Roboto"/>
    </font>
    <font>
      <u/>
      <color rgb="FF0000FF"/>
      <name val="Roboto"/>
    </font>
    <font>
      <u/>
      <color rgb="FF0000FF"/>
      <name val="Roboto"/>
    </font>
    <font>
      <color rgb="FF000000"/>
      <name val="Arial"/>
      <scheme val="minor"/>
    </font>
    <font>
      <b/>
      <color rgb="FF000000"/>
      <name val="Arial"/>
      <scheme val="minor"/>
    </font>
    <font>
      <b/>
      <sz val="9.0"/>
      <color rgb="FF000000"/>
      <name val="Arial"/>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0" fillId="0" fontId="4" numFmtId="0" xfId="0" applyAlignment="1" applyFont="1">
      <alignment horizontal="left" readingOrder="0" shrinkToFit="0" vertical="center" wrapText="0"/>
    </xf>
    <xf borderId="7" fillId="3" fontId="5" numFmtId="0" xfId="0" applyBorder="1" applyFill="1" applyFont="1"/>
    <xf borderId="0" fillId="0" fontId="6" numFmtId="0" xfId="0" applyAlignment="1" applyFont="1">
      <alignment horizontal="center" readingOrder="0" shrinkToFit="0" vertical="bottom" wrapText="0"/>
    </xf>
    <xf borderId="0" fillId="0" fontId="7"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8" numFmtId="0" xfId="0" applyAlignment="1" applyFont="1">
      <alignment horizontal="left" shrinkToFit="0" vertical="top" wrapText="0"/>
    </xf>
    <xf borderId="0" fillId="0" fontId="4" numFmtId="0" xfId="0" applyAlignment="1" applyFont="1">
      <alignment horizontal="center" readingOrder="0" shrinkToFit="0" vertical="center" wrapText="1"/>
    </xf>
    <xf borderId="0" fillId="0" fontId="4" numFmtId="0" xfId="0" applyAlignment="1" applyFont="1">
      <alignment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8" numFmtId="0" xfId="0" applyAlignment="1" applyFont="1">
      <alignment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right" shrinkToFit="0" vertical="center" wrapText="0"/>
    </xf>
    <xf borderId="0" fillId="0" fontId="7" numFmtId="0" xfId="0" applyAlignment="1" applyFont="1">
      <alignment horizontal="left" shrinkToFit="0" vertical="center" wrapText="0"/>
    </xf>
    <xf borderId="0" fillId="0" fontId="4" numFmtId="0" xfId="0" applyAlignment="1" applyFont="1">
      <alignment horizontal="right"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shrinkToFit="0" vertical="center" wrapText="0"/>
    </xf>
    <xf borderId="0" fillId="0" fontId="4" numFmtId="0" xfId="0" applyAlignment="1" applyFont="1">
      <alignment horizontal="right" readingOrder="0" shrinkToFit="0" vertical="center" wrapText="0"/>
    </xf>
    <xf borderId="0" fillId="0" fontId="4" numFmtId="0" xfId="0" applyAlignment="1" applyFont="1">
      <alignment horizontal="right" readingOrder="0" shrinkToFit="0" vertical="center" wrapText="0"/>
    </xf>
    <xf borderId="1" fillId="3" fontId="5" numFmtId="0" xfId="0" applyBorder="1" applyFill="1" applyFont="1"/>
    <xf borderId="8" fillId="3" fontId="5" numFmtId="0" xfId="0" applyBorder="1" applyFill="1" applyFont="1"/>
    <xf borderId="9" fillId="3" fontId="5" numFmtId="0" xfId="0" applyBorder="1" applyFill="1" applyFont="1"/>
    <xf borderId="10" fillId="3" fontId="5" numFmtId="0" xfId="0" applyBorder="1" applyFill="1" applyFont="1"/>
    <xf borderId="11" fillId="3" fontId="9" numFmtId="0" xfId="0" applyBorder="1" applyFill="1" applyFont="1"/>
    <xf borderId="0" fillId="0" fontId="4" numFmtId="0" xfId="0" applyAlignment="1" applyFont="1">
      <alignment horizontal="left" readingOrder="0" shrinkToFit="0" vertical="center" wrapText="0"/>
    </xf>
    <xf borderId="12" fillId="3" fontId="9" numFmtId="0" xfId="0" applyBorder="1" applyFill="1" applyFont="1"/>
    <xf borderId="13" fillId="3" fontId="9" numFmtId="0" xfId="0" applyBorder="1" applyFill="1" applyFont="1"/>
    <xf borderId="7" fillId="3" fontId="9" numFmtId="0" xfId="0" applyBorder="1" applyFill="1" applyFont="1"/>
    <xf borderId="14" fillId="3" fontId="5" numFmtId="0" xfId="0" applyBorder="1" applyFill="1" applyFont="1"/>
    <xf borderId="2" fillId="3" fontId="5" numFmtId="0" xfId="0" applyBorder="1" applyFill="1" applyFont="1"/>
    <xf borderId="15" fillId="3" fontId="5" numFmtId="0" xfId="0" applyBorder="1" applyFill="1" applyFont="1"/>
    <xf borderId="5" fillId="3" fontId="5" numFmtId="0" xfId="0" applyBorder="1" applyFill="1" applyFont="1"/>
    <xf borderId="16" fillId="3" fontId="5" numFmtId="0" xfId="0" applyBorder="1" applyFill="1" applyFont="1"/>
    <xf borderId="17" fillId="3" fontId="9" numFmtId="0" xfId="0" applyBorder="1" applyFill="1" applyFont="1"/>
    <xf borderId="18" fillId="3" fontId="9" numFmtId="0" xfId="0" applyBorder="1" applyFill="1" applyFont="1"/>
    <xf borderId="19" fillId="3" fontId="9" numFmtId="0" xfId="0" applyBorder="1" applyFill="1" applyFont="1"/>
    <xf borderId="0" fillId="4" fontId="7" numFmtId="0" xfId="0" applyAlignment="1" applyFill="1" applyFont="1">
      <alignment shrinkToFit="0" vertical="center" wrapText="0"/>
    </xf>
    <xf borderId="6" fillId="3" fontId="5" numFmtId="0" xfId="0" applyBorder="1" applyFill="1" applyFont="1"/>
    <xf borderId="0" fillId="5" fontId="4" numFmtId="0" xfId="0" applyAlignment="1" applyFill="1" applyFont="1">
      <alignment horizontal="right" readingOrder="0" shrinkToFit="0" vertical="center" wrapText="0"/>
    </xf>
    <xf borderId="20" fillId="3" fontId="9" numFmtId="0" xfId="0" applyBorder="1" applyFill="1" applyFont="1"/>
    <xf borderId="21" fillId="3" fontId="9" numFmtId="0" xfId="0" applyBorder="1" applyFill="1" applyFont="1"/>
    <xf borderId="22" fillId="3" fontId="9" numFmtId="0" xfId="0" applyBorder="1" applyFill="1" applyFont="1"/>
    <xf borderId="0" fillId="0" fontId="4" numFmtId="0" xfId="0" applyAlignment="1" applyFont="1">
      <alignment horizontal="left" readingOrder="0" shrinkToFit="0" vertical="center" wrapText="1"/>
    </xf>
    <xf borderId="0" fillId="0" fontId="10" numFmtId="0" xfId="0" applyAlignment="1" applyFont="1">
      <alignment readingOrder="0" shrinkToFit="0" vertical="center" wrapText="0"/>
    </xf>
    <xf borderId="0" fillId="4" fontId="7" numFmtId="0" xfId="0" applyAlignment="1" applyFill="1" applyFont="1">
      <alignment horizontal="center" readingOrder="0" shrinkToFit="0" vertical="center" wrapText="1"/>
    </xf>
    <xf borderId="0" fillId="4" fontId="7" numFmtId="0" xfId="0" applyAlignment="1" applyFill="1" applyFont="1">
      <alignment readingOrder="0" shrinkToFit="0" vertical="center" wrapText="1"/>
    </xf>
    <xf borderId="0" fillId="4" fontId="7" numFmtId="0" xfId="0" applyAlignment="1" applyFill="1" applyFont="1">
      <alignment readingOrder="0" shrinkToFit="0" vertical="center" wrapText="0"/>
    </xf>
    <xf borderId="0" fillId="5" fontId="7" numFmtId="0" xfId="0" applyAlignment="1" applyFill="1" applyFont="1">
      <alignment horizontal="right" readingOrder="0" shrinkToFit="0" vertical="center" wrapText="0"/>
    </xf>
    <xf borderId="23" fillId="3" fontId="5" numFmtId="0" xfId="0" applyBorder="1" applyFill="1" applyFont="1"/>
    <xf borderId="24" fillId="3" fontId="5" numFmtId="0" xfId="0" applyBorder="1" applyFill="1" applyFont="1"/>
    <xf borderId="25" fillId="3" fontId="5"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32" fillId="3" fontId="9" numFmtId="0" xfId="0" applyBorder="1" applyFill="1" applyFont="1"/>
    <xf borderId="33" fillId="3" fontId="9" numFmtId="0" xfId="0" applyBorder="1" applyFill="1" applyFont="1"/>
    <xf borderId="34" fillId="3" fontId="9" numFmtId="0" xfId="0" applyBorder="1" applyFill="1" applyFont="1"/>
    <xf borderId="0" fillId="0" fontId="11" numFmtId="0" xfId="0" applyAlignment="1" applyFont="1">
      <alignment horizontal="left" readingOrder="0" shrinkToFit="0" vertical="center" wrapText="0"/>
    </xf>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shrinkToFit="0" vertical="center" wrapText="0"/>
    </xf>
    <xf borderId="0" fillId="0" fontId="4" numFmtId="0" xfId="0" applyAlignment="1" applyFont="1">
      <alignment horizontal="right" readingOrder="0" shrinkToFit="0" vertical="center" wrapText="0"/>
    </xf>
    <xf borderId="0" fillId="0" fontId="12" numFmtId="0" xfId="0" applyAlignment="1" applyFont="1">
      <alignment horizontal="left" readingOrder="0" shrinkToFit="0" vertical="center" wrapText="0"/>
    </xf>
    <xf borderId="0" fillId="0" fontId="4" numFmtId="0" xfId="0" applyAlignment="1" applyFont="1">
      <alignment horizontal="right" readingOrder="0" shrinkToFit="0" vertical="center" wrapText="0"/>
    </xf>
    <xf borderId="0" fillId="0" fontId="7" numFmtId="0" xfId="0" applyAlignment="1" applyFont="1">
      <alignment readingOrder="0"/>
    </xf>
    <xf borderId="0" fillId="6" fontId="4" numFmtId="0" xfId="0" applyAlignment="1" applyFill="1" applyFont="1">
      <alignment readingOrder="0"/>
    </xf>
    <xf borderId="0" fillId="6" fontId="4" numFmtId="0" xfId="0" applyAlignment="1" applyFill="1" applyFont="1">
      <alignment horizontal="center"/>
    </xf>
    <xf borderId="0" fillId="6" fontId="4" numFmtId="0" xfId="0" applyAlignment="1" applyFill="1" applyFont="1">
      <alignment horizontal="center" readingOrder="0"/>
    </xf>
    <xf borderId="0" fillId="0" fontId="7" numFmtId="0" xfId="0" applyAlignment="1" applyFont="1">
      <alignment readingOrder="0" shrinkToFit="0" wrapText="1"/>
    </xf>
    <xf borderId="0" fillId="0" fontId="13" numFmtId="0" xfId="0" applyAlignment="1" applyFont="1">
      <alignment readingOrder="0" shrinkToFit="0" vertical="center" wrapText="1"/>
    </xf>
    <xf borderId="0" fillId="0" fontId="14" numFmtId="0" xfId="0" applyAlignment="1" applyFont="1">
      <alignment readingOrder="0"/>
    </xf>
    <xf borderId="0" fillId="6" fontId="13" numFmtId="0" xfId="0" applyAlignment="1" applyFill="1" applyFont="1">
      <alignment readingOrder="0"/>
    </xf>
    <xf borderId="0" fillId="0" fontId="13" numFmtId="0" xfId="0" applyAlignment="1" applyFont="1">
      <alignment readingOrder="0"/>
    </xf>
    <xf borderId="0" fillId="0" fontId="4" numFmtId="0" xfId="0" applyAlignment="1" applyFont="1">
      <alignment readingOrder="0"/>
    </xf>
    <xf borderId="0" fillId="4" fontId="4" numFmtId="0" xfId="0" applyAlignment="1" applyFill="1" applyFont="1">
      <alignment readingOrder="0" shrinkToFit="0" vertical="center" wrapText="0"/>
    </xf>
    <xf borderId="0" fillId="4" fontId="4" numFmtId="0" xfId="0" applyAlignment="1" applyFill="1" applyFont="1">
      <alignment shrinkToFit="0" vertical="center" wrapText="0"/>
    </xf>
    <xf borderId="0" fillId="4" fontId="15" numFmtId="0" xfId="0" applyAlignment="1" applyFill="1" applyFont="1">
      <alignment horizontal="left" shrinkToFit="0" vertical="top" wrapText="0"/>
    </xf>
    <xf borderId="0" fillId="4" fontId="15" numFmtId="0" xfId="0" applyAlignment="1" applyFill="1" applyFont="1">
      <alignment shrinkToFit="0" vertical="center" wrapText="0"/>
    </xf>
    <xf borderId="0" fillId="0" fontId="4" numFmtId="0" xfId="0" applyFont="1"/>
    <xf borderId="0" fillId="0" fontId="4" numFmtId="0" xfId="0" applyAlignment="1" applyFont="1">
      <alignment horizontal="center" readingOrder="0" shrinkToFit="0" vertical="center" wrapText="1"/>
    </xf>
    <xf borderId="0" fillId="0" fontId="4" numFmtId="0" xfId="0" applyAlignment="1" applyFont="1">
      <alignment horizontal="center" shrinkToFit="0" wrapText="1"/>
    </xf>
    <xf borderId="0" fillId="0" fontId="4" numFmtId="0" xfId="0" applyAlignment="1" applyFont="1">
      <alignment readingOrder="0" shrinkToFit="0" wrapText="1"/>
    </xf>
    <xf borderId="0" fillId="0" fontId="4" numFmtId="0" xfId="0" applyFont="1"/>
    <xf borderId="0" fillId="0" fontId="4" numFmtId="0" xfId="0" applyAlignment="1" applyFont="1">
      <alignment shrinkToFit="0" wrapText="1"/>
    </xf>
    <xf borderId="0" fillId="0" fontId="4" numFmtId="0" xfId="0" applyAlignment="1" applyFont="1">
      <alignment shrinkToFit="0" vertical="center" wrapText="0"/>
    </xf>
    <xf borderId="0" fillId="0" fontId="7" numFmtId="0" xfId="0" applyAlignment="1" applyFont="1">
      <alignment horizontal="right" shrinkToFit="0" vertical="center" wrapText="0"/>
    </xf>
    <xf borderId="0" fillId="0" fontId="4" numFmtId="0" xfId="0" applyAlignment="1" applyFont="1">
      <alignment horizontal="right" shrinkToFit="0" vertical="center" wrapText="0"/>
    </xf>
    <xf borderId="0" fillId="0" fontId="7" numFmtId="0" xfId="0" applyAlignment="1" applyFont="1">
      <alignment horizontal="right" shrinkToFit="0" vertical="center" wrapText="0"/>
    </xf>
    <xf borderId="0" fillId="7" fontId="4" numFmtId="0" xfId="0" applyAlignment="1" applyFill="1" applyFont="1">
      <alignment horizontal="center" readingOrder="0" shrinkToFit="0" vertical="center" wrapText="0"/>
    </xf>
    <xf borderId="0" fillId="7" fontId="4" numFmtId="0" xfId="0" applyAlignment="1" applyFill="1" applyFont="1">
      <alignment shrinkToFit="0" vertical="center" wrapText="0"/>
    </xf>
    <xf borderId="0" fillId="7" fontId="4" numFmtId="0" xfId="0" applyAlignment="1" applyFill="1" applyFont="1">
      <alignment horizontal="right" readingOrder="0" shrinkToFit="0" vertical="center" wrapText="0"/>
    </xf>
    <xf borderId="0" fillId="7" fontId="4" numFmtId="0" xfId="0" applyAlignment="1" applyFill="1" applyFont="1">
      <alignment horizontal="right" shrinkToFit="0" vertical="center" wrapText="0"/>
    </xf>
    <xf borderId="0" fillId="7" fontId="7" numFmtId="0" xfId="0" applyAlignment="1" applyFill="1" applyFont="1">
      <alignment horizontal="center" readingOrder="0"/>
    </xf>
    <xf borderId="0" fillId="0" fontId="4" numFmtId="0" xfId="0" applyAlignment="1" applyFont="1">
      <alignment horizontal="right"/>
    </xf>
    <xf borderId="0" fillId="0" fontId="4" numFmtId="0" xfId="0" applyAlignment="1" applyFont="1">
      <alignment horizontal="righ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4" fontId="7" numFmtId="0" xfId="0" applyAlignment="1" applyFill="1" applyFont="1">
      <alignment shrinkToFit="0" vertical="center" wrapText="0"/>
    </xf>
    <xf borderId="0" fillId="5" fontId="4" numFmtId="0" xfId="0" applyAlignment="1" applyFill="1" applyFont="1">
      <alignment horizontal="right" shrinkToFit="0" vertical="center" wrapText="0"/>
    </xf>
    <xf borderId="0" fillId="5" fontId="4" numFmtId="0" xfId="0" applyAlignment="1" applyFill="1" applyFont="1">
      <alignment horizontal="right" readingOrder="0" shrinkToFit="0" vertical="center" wrapText="0"/>
    </xf>
    <xf borderId="0" fillId="5" fontId="4"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7" numFmtId="0" xfId="0" applyAlignment="1" applyFont="1">
      <alignment readingOrder="0" shrinkToFit="0" vertical="center" wrapText="0"/>
    </xf>
    <xf borderId="0" fillId="0" fontId="7" numFmtId="0" xfId="0" applyAlignment="1" applyFont="1">
      <alignment horizontal="right" readingOrder="0" shrinkToFit="0" vertical="center" wrapText="0"/>
    </xf>
    <xf borderId="0" fillId="0" fontId="7" numFmtId="0" xfId="0" applyAlignment="1" applyFont="1">
      <alignment horizontal="right" readingOrder="0" shrinkToFit="0" vertical="center" wrapText="0"/>
    </xf>
    <xf borderId="0" fillId="0" fontId="4"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7" numFmtId="0" xfId="0" applyAlignment="1" applyFont="1">
      <alignment horizontal="righ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horizontal="left"/>
    </xf>
    <xf borderId="0" fillId="5" fontId="4" numFmtId="0" xfId="0" applyAlignment="1" applyFill="1" applyFont="1">
      <alignment readingOrder="0" shrinkToFit="0" wrapText="1"/>
    </xf>
    <xf borderId="0" fillId="4" fontId="4"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s>
  <tableStyles count="5">
    <tableStyle count="4" pivot="0" name="PMA+PMDA-style">
      <tableStyleElement dxfId="1" type="headerRow"/>
      <tableStyleElement dxfId="2" type="firstRowStripe"/>
      <tableStyleElement dxfId="3" type="secondRowStripe"/>
      <tableStyleElement dxfId="4" size="0" type="wholeTable"/>
    </tableStyle>
    <tableStyle count="4" pivot="0" name="Data Tahunan-style">
      <tableStyleElement dxfId="5" type="headerRow"/>
      <tableStyleElement dxfId="2" type="firstRowStripe"/>
      <tableStyleElement dxfId="3" type="secondRowStripe"/>
      <tableStyleElement dxfId="6" size="0" type="wholeTable"/>
    </tableStyle>
    <tableStyle count="4" pivot="0" name="List Variabel-style">
      <tableStyleElement dxfId="5" type="headerRow"/>
      <tableStyleElement dxfId="2" type="firstRowStripe"/>
      <tableStyleElement dxfId="3" type="secondRowStripe"/>
      <tableStyleElement dxfId="6" size="0" type="wholeTable"/>
    </tableStyle>
    <tableStyle count="4" pivot="0" name="Perhitungan faktor sambung-style">
      <tableStyleElement dxfId="1" type="headerRow"/>
      <tableStyleElement dxfId="2" type="firstRowStripe"/>
      <tableStyleElement dxfId="3" type="secondRowStripe"/>
      <tableStyleElement dxfId="4" size="0" type="wholeTable"/>
    </tableStyle>
    <tableStyle count="4" pivot="0" name="Data Histor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3">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2">
  <autoFilter ref="$A$1:$S$79"/>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12" t="s">
        <v>7</v>
      </c>
      <c r="B1" s="12" t="s">
        <v>11</v>
      </c>
      <c r="C1" s="13" t="s">
        <v>14</v>
      </c>
      <c r="D1" s="15" t="s">
        <v>21</v>
      </c>
      <c r="E1" s="15" t="s">
        <v>25</v>
      </c>
      <c r="F1" s="15" t="s">
        <v>27</v>
      </c>
      <c r="G1" s="13" t="s">
        <v>29</v>
      </c>
      <c r="H1" s="15" t="s">
        <v>31</v>
      </c>
      <c r="I1" s="15" t="s">
        <v>32</v>
      </c>
      <c r="J1" s="15" t="s">
        <v>33</v>
      </c>
      <c r="K1" s="15" t="s">
        <v>36</v>
      </c>
    </row>
    <row r="2" ht="22.5" customHeight="1">
      <c r="A2" s="17">
        <v>1.0</v>
      </c>
      <c r="B2" s="19" t="s">
        <v>38</v>
      </c>
      <c r="C2" s="20" t="s">
        <v>39</v>
      </c>
      <c r="D2" s="21" t="s">
        <v>41</v>
      </c>
      <c r="E2" s="21" t="s">
        <v>43</v>
      </c>
      <c r="F2" s="21"/>
      <c r="G2" s="20" t="s">
        <v>45</v>
      </c>
      <c r="H2" s="14" t="b">
        <v>1</v>
      </c>
      <c r="I2" s="21"/>
      <c r="J2" s="21"/>
      <c r="K2" s="14" t="b">
        <v>0</v>
      </c>
    </row>
    <row r="3" ht="22.5" customHeight="1">
      <c r="A3" s="17">
        <v>2.0</v>
      </c>
      <c r="B3" s="19" t="s">
        <v>54</v>
      </c>
      <c r="C3" s="20" t="s">
        <v>39</v>
      </c>
      <c r="D3" s="21" t="s">
        <v>55</v>
      </c>
      <c r="E3" s="21" t="s">
        <v>56</v>
      </c>
      <c r="F3" s="21"/>
      <c r="G3" s="20" t="s">
        <v>58</v>
      </c>
      <c r="H3" s="14" t="b">
        <v>1</v>
      </c>
      <c r="I3" s="21"/>
      <c r="J3" s="21"/>
      <c r="K3" s="14" t="b">
        <v>0</v>
      </c>
    </row>
    <row r="4" ht="22.5" customHeight="1">
      <c r="A4" s="17">
        <v>3.0</v>
      </c>
      <c r="B4" s="19" t="s">
        <v>63</v>
      </c>
      <c r="C4" s="20" t="s">
        <v>39</v>
      </c>
      <c r="D4" s="21" t="s">
        <v>55</v>
      </c>
      <c r="E4" s="21" t="s">
        <v>56</v>
      </c>
      <c r="F4" s="21"/>
      <c r="G4" s="20" t="s">
        <v>58</v>
      </c>
      <c r="H4" s="14" t="b">
        <v>1</v>
      </c>
      <c r="I4" s="21"/>
      <c r="J4" s="21"/>
      <c r="K4" s="14" t="b">
        <v>0</v>
      </c>
    </row>
    <row r="5" ht="22.5" customHeight="1">
      <c r="A5" s="17">
        <v>4.0</v>
      </c>
      <c r="B5" s="19" t="s">
        <v>68</v>
      </c>
      <c r="C5" s="20" t="s">
        <v>39</v>
      </c>
      <c r="D5" s="21" t="s">
        <v>70</v>
      </c>
      <c r="E5" s="21" t="s">
        <v>56</v>
      </c>
      <c r="F5" s="21"/>
      <c r="G5" s="20" t="s">
        <v>45</v>
      </c>
      <c r="H5" s="14" t="b">
        <v>1</v>
      </c>
      <c r="I5" s="21"/>
      <c r="J5" s="21"/>
      <c r="K5" s="14" t="b">
        <v>0</v>
      </c>
    </row>
    <row r="6" ht="22.5" customHeight="1">
      <c r="A6" s="17">
        <v>5.0</v>
      </c>
      <c r="B6" s="19" t="s">
        <v>80</v>
      </c>
      <c r="C6" s="20" t="s">
        <v>39</v>
      </c>
      <c r="D6" s="21" t="s">
        <v>55</v>
      </c>
      <c r="E6" s="21" t="s">
        <v>56</v>
      </c>
      <c r="F6" s="21"/>
      <c r="G6" s="20" t="s">
        <v>58</v>
      </c>
      <c r="H6" s="14" t="b">
        <v>1</v>
      </c>
      <c r="I6" s="21"/>
      <c r="J6" s="21"/>
      <c r="K6" s="14" t="b">
        <v>0</v>
      </c>
    </row>
    <row r="7" ht="22.5" customHeight="1">
      <c r="A7" s="17">
        <v>6.0</v>
      </c>
      <c r="B7" s="19" t="s">
        <v>86</v>
      </c>
      <c r="C7" s="20" t="s">
        <v>88</v>
      </c>
      <c r="D7" s="21" t="s">
        <v>90</v>
      </c>
      <c r="E7" s="21" t="s">
        <v>91</v>
      </c>
      <c r="F7" s="21"/>
      <c r="G7" s="20" t="s">
        <v>45</v>
      </c>
      <c r="H7" s="14" t="b">
        <v>1</v>
      </c>
      <c r="I7" s="21"/>
      <c r="J7" s="21"/>
      <c r="K7" s="14" t="b">
        <v>0</v>
      </c>
    </row>
    <row r="8" ht="22.5" customHeight="1">
      <c r="A8" s="17">
        <v>7.0</v>
      </c>
      <c r="B8" s="19" t="s">
        <v>95</v>
      </c>
      <c r="C8" s="20" t="s">
        <v>88</v>
      </c>
      <c r="D8" s="21" t="s">
        <v>90</v>
      </c>
      <c r="E8" s="21" t="s">
        <v>91</v>
      </c>
      <c r="F8" s="21"/>
      <c r="G8" s="20" t="s">
        <v>45</v>
      </c>
      <c r="H8" s="14" t="b">
        <v>1</v>
      </c>
      <c r="I8" s="21"/>
      <c r="J8" s="21"/>
      <c r="K8" s="14" t="b">
        <v>0</v>
      </c>
    </row>
    <row r="9" ht="22.5" customHeight="1">
      <c r="A9" s="17">
        <v>8.0</v>
      </c>
      <c r="B9" s="19" t="s">
        <v>100</v>
      </c>
      <c r="C9" s="20" t="s">
        <v>88</v>
      </c>
      <c r="D9" s="21" t="s">
        <v>90</v>
      </c>
      <c r="E9" s="21" t="s">
        <v>91</v>
      </c>
      <c r="F9" s="21"/>
      <c r="G9" s="20" t="s">
        <v>45</v>
      </c>
      <c r="H9" s="14" t="b">
        <v>1</v>
      </c>
      <c r="I9" s="21"/>
      <c r="J9" s="21"/>
      <c r="K9" s="14" t="b">
        <v>0</v>
      </c>
    </row>
    <row r="10" ht="22.5" customHeight="1">
      <c r="A10" s="17">
        <v>9.0</v>
      </c>
      <c r="B10" s="19" t="s">
        <v>106</v>
      </c>
      <c r="C10" s="20" t="s">
        <v>88</v>
      </c>
      <c r="D10" s="21" t="s">
        <v>90</v>
      </c>
      <c r="E10" s="21" t="s">
        <v>91</v>
      </c>
      <c r="F10" s="21"/>
      <c r="G10" s="20" t="s">
        <v>45</v>
      </c>
      <c r="H10" s="14" t="b">
        <v>1</v>
      </c>
      <c r="I10" s="21"/>
      <c r="J10" s="21"/>
      <c r="K10" s="14" t="b">
        <v>0</v>
      </c>
    </row>
    <row r="11" ht="22.5" customHeight="1">
      <c r="A11" s="17">
        <v>10.0</v>
      </c>
      <c r="B11" s="19" t="s">
        <v>110</v>
      </c>
      <c r="C11" s="20" t="s">
        <v>88</v>
      </c>
      <c r="D11" s="21" t="s">
        <v>90</v>
      </c>
      <c r="E11" s="21" t="s">
        <v>91</v>
      </c>
      <c r="F11" s="21"/>
      <c r="G11" s="20" t="s">
        <v>45</v>
      </c>
      <c r="H11" s="14" t="b">
        <v>1</v>
      </c>
      <c r="I11" s="21"/>
      <c r="J11" s="21"/>
      <c r="K11" s="14" t="b">
        <v>0</v>
      </c>
    </row>
    <row r="12" ht="22.5" customHeight="1">
      <c r="A12" s="17">
        <v>11.0</v>
      </c>
      <c r="B12" s="19" t="s">
        <v>112</v>
      </c>
      <c r="C12" s="20" t="s">
        <v>88</v>
      </c>
      <c r="D12" s="21" t="s">
        <v>90</v>
      </c>
      <c r="E12" s="21" t="s">
        <v>91</v>
      </c>
      <c r="F12" s="21"/>
      <c r="G12" s="20" t="s">
        <v>58</v>
      </c>
      <c r="H12" s="14" t="b">
        <v>1</v>
      </c>
      <c r="I12" s="21"/>
      <c r="J12" s="21"/>
      <c r="K12" s="14" t="b">
        <v>0</v>
      </c>
    </row>
    <row r="13" ht="22.5" customHeight="1">
      <c r="A13" s="17">
        <v>12.0</v>
      </c>
      <c r="B13" s="19" t="s">
        <v>115</v>
      </c>
      <c r="C13" s="20" t="s">
        <v>88</v>
      </c>
      <c r="D13" s="21" t="s">
        <v>90</v>
      </c>
      <c r="E13" s="21" t="s">
        <v>91</v>
      </c>
      <c r="F13" s="21" t="s">
        <v>116</v>
      </c>
      <c r="G13" s="20" t="s">
        <v>45</v>
      </c>
      <c r="H13" s="14" t="b">
        <v>1</v>
      </c>
      <c r="I13" s="21"/>
      <c r="J13" s="21"/>
      <c r="K13" s="14" t="b">
        <v>0</v>
      </c>
    </row>
    <row r="14" ht="22.5" customHeight="1">
      <c r="A14" s="17">
        <v>13.0</v>
      </c>
      <c r="B14" s="19" t="s">
        <v>117</v>
      </c>
      <c r="C14" s="20" t="s">
        <v>88</v>
      </c>
      <c r="D14" s="21" t="s">
        <v>90</v>
      </c>
      <c r="E14" s="21" t="s">
        <v>91</v>
      </c>
      <c r="F14" s="21"/>
      <c r="G14" s="20" t="s">
        <v>45</v>
      </c>
      <c r="H14" s="14" t="b">
        <v>1</v>
      </c>
      <c r="I14" s="21"/>
      <c r="J14" s="21"/>
      <c r="K14" s="14" t="b">
        <v>0</v>
      </c>
    </row>
    <row r="15" ht="22.5" customHeight="1">
      <c r="A15" s="17">
        <v>14.0</v>
      </c>
      <c r="B15" s="19" t="s">
        <v>119</v>
      </c>
      <c r="C15" s="20" t="s">
        <v>88</v>
      </c>
      <c r="D15" s="21" t="s">
        <v>90</v>
      </c>
      <c r="E15" s="21" t="s">
        <v>91</v>
      </c>
      <c r="F15" s="21"/>
      <c r="G15" s="20" t="s">
        <v>45</v>
      </c>
      <c r="H15" s="14" t="b">
        <v>1</v>
      </c>
      <c r="I15" s="21"/>
      <c r="J15" s="21"/>
      <c r="K15" s="14" t="b">
        <v>0</v>
      </c>
    </row>
    <row r="16" ht="22.5" customHeight="1">
      <c r="A16" s="17">
        <v>15.0</v>
      </c>
      <c r="B16" s="19" t="s">
        <v>126</v>
      </c>
      <c r="C16" s="20" t="s">
        <v>127</v>
      </c>
      <c r="D16" s="21" t="s">
        <v>55</v>
      </c>
      <c r="E16" s="21" t="s">
        <v>128</v>
      </c>
      <c r="F16" s="21"/>
      <c r="G16" s="20" t="s">
        <v>45</v>
      </c>
      <c r="H16" s="14" t="b">
        <v>1</v>
      </c>
      <c r="I16" s="21"/>
      <c r="J16" s="21"/>
      <c r="K16" s="14" t="b">
        <v>0</v>
      </c>
    </row>
    <row r="17" ht="22.5" customHeight="1">
      <c r="A17" s="17">
        <v>16.0</v>
      </c>
      <c r="B17" s="19" t="s">
        <v>132</v>
      </c>
      <c r="C17" s="20" t="s">
        <v>127</v>
      </c>
      <c r="D17" s="21" t="s">
        <v>70</v>
      </c>
      <c r="E17" s="21" t="s">
        <v>43</v>
      </c>
      <c r="F17" s="21"/>
      <c r="G17" s="20" t="s">
        <v>45</v>
      </c>
      <c r="H17" s="14" t="b">
        <v>1</v>
      </c>
      <c r="I17" s="21"/>
      <c r="J17" s="21"/>
      <c r="K17" s="14" t="b">
        <v>0</v>
      </c>
    </row>
    <row r="18" ht="22.5" customHeight="1">
      <c r="A18" s="17">
        <v>17.0</v>
      </c>
      <c r="B18" s="19" t="s">
        <v>136</v>
      </c>
      <c r="C18" s="20" t="s">
        <v>127</v>
      </c>
      <c r="D18" s="21" t="s">
        <v>70</v>
      </c>
      <c r="E18" s="21" t="s">
        <v>56</v>
      </c>
      <c r="F18" s="55" t="s">
        <v>139</v>
      </c>
      <c r="G18" s="20" t="s">
        <v>45</v>
      </c>
      <c r="H18" s="14" t="b">
        <v>1</v>
      </c>
      <c r="I18" s="21"/>
      <c r="J18" s="21"/>
      <c r="K18" s="14" t="b">
        <v>0</v>
      </c>
    </row>
    <row r="19" ht="22.5" customHeight="1">
      <c r="A19" s="17">
        <v>18.0</v>
      </c>
      <c r="B19" s="19" t="s">
        <v>147</v>
      </c>
      <c r="C19" s="20" t="s">
        <v>127</v>
      </c>
      <c r="D19" s="21" t="s">
        <v>55</v>
      </c>
      <c r="E19" s="21" t="s">
        <v>43</v>
      </c>
      <c r="F19" s="21" t="s">
        <v>149</v>
      </c>
      <c r="G19" s="20" t="s">
        <v>45</v>
      </c>
      <c r="H19" s="14" t="b">
        <v>1</v>
      </c>
      <c r="I19" s="21"/>
      <c r="J19" s="21"/>
      <c r="K19" s="14" t="b">
        <v>0</v>
      </c>
    </row>
    <row r="20" ht="22.5" customHeight="1">
      <c r="A20" s="17">
        <v>19.0</v>
      </c>
      <c r="B20" s="19" t="s">
        <v>155</v>
      </c>
      <c r="C20" s="20" t="s">
        <v>127</v>
      </c>
      <c r="D20" s="21" t="s">
        <v>156</v>
      </c>
      <c r="E20" s="21" t="s">
        <v>56</v>
      </c>
      <c r="F20" s="21"/>
      <c r="G20" s="20" t="s">
        <v>58</v>
      </c>
      <c r="H20" s="14" t="b">
        <v>1</v>
      </c>
      <c r="I20" s="21"/>
      <c r="J20" s="21"/>
      <c r="K20" s="14" t="b">
        <v>0</v>
      </c>
    </row>
    <row r="21" ht="22.5" customHeight="1">
      <c r="A21" s="17">
        <v>20.0</v>
      </c>
      <c r="B21" s="19" t="s">
        <v>160</v>
      </c>
      <c r="C21" s="20" t="s">
        <v>127</v>
      </c>
      <c r="D21" s="21" t="s">
        <v>90</v>
      </c>
      <c r="E21" s="21" t="s">
        <v>91</v>
      </c>
      <c r="F21" s="21" t="s">
        <v>162</v>
      </c>
      <c r="G21" s="20" t="s">
        <v>45</v>
      </c>
      <c r="H21" s="14" t="b">
        <v>1</v>
      </c>
      <c r="I21" s="21"/>
      <c r="J21" s="21"/>
      <c r="K21" s="14" t="b">
        <v>0</v>
      </c>
    </row>
    <row r="22" ht="22.5" customHeight="1">
      <c r="A22" s="17">
        <v>21.0</v>
      </c>
      <c r="B22" s="19" t="s">
        <v>166</v>
      </c>
      <c r="C22" s="20" t="s">
        <v>127</v>
      </c>
      <c r="D22" s="21" t="s">
        <v>90</v>
      </c>
      <c r="E22" s="21" t="s">
        <v>91</v>
      </c>
      <c r="F22" s="21" t="s">
        <v>168</v>
      </c>
      <c r="G22" s="20" t="s">
        <v>45</v>
      </c>
      <c r="H22" s="14" t="b">
        <v>1</v>
      </c>
      <c r="I22" s="21"/>
      <c r="J22" s="21"/>
      <c r="K22" s="14" t="b">
        <v>0</v>
      </c>
    </row>
    <row r="23" ht="22.5" customHeight="1">
      <c r="A23" s="17">
        <v>22.0</v>
      </c>
      <c r="B23" s="19" t="s">
        <v>173</v>
      </c>
      <c r="C23" s="20" t="s">
        <v>127</v>
      </c>
      <c r="D23" s="21" t="s">
        <v>90</v>
      </c>
      <c r="E23" s="21" t="s">
        <v>91</v>
      </c>
      <c r="F23" s="21"/>
      <c r="G23" s="20" t="s">
        <v>45</v>
      </c>
      <c r="H23" s="14" t="b">
        <v>1</v>
      </c>
      <c r="I23" s="21"/>
      <c r="J23" s="21"/>
      <c r="K23" s="14" t="b">
        <v>0</v>
      </c>
    </row>
    <row r="24" ht="22.5" customHeight="1">
      <c r="A24" s="17">
        <v>23.0</v>
      </c>
      <c r="B24" s="19" t="s">
        <v>175</v>
      </c>
      <c r="C24" s="20" t="s">
        <v>127</v>
      </c>
      <c r="D24" s="21" t="s">
        <v>90</v>
      </c>
      <c r="E24" s="21" t="s">
        <v>91</v>
      </c>
      <c r="F24" s="21" t="s">
        <v>178</v>
      </c>
      <c r="G24" s="20" t="s">
        <v>45</v>
      </c>
      <c r="H24" s="14" t="b">
        <v>1</v>
      </c>
      <c r="I24" s="21"/>
      <c r="J24" s="21"/>
      <c r="K24" s="14" t="b">
        <v>0</v>
      </c>
    </row>
    <row r="25" ht="22.5" customHeight="1">
      <c r="A25" s="17">
        <v>24.0</v>
      </c>
      <c r="B25" s="19" t="s">
        <v>180</v>
      </c>
      <c r="C25" s="20" t="s">
        <v>127</v>
      </c>
      <c r="D25" s="21" t="s">
        <v>90</v>
      </c>
      <c r="E25" s="21" t="s">
        <v>91</v>
      </c>
      <c r="F25" s="21" t="s">
        <v>182</v>
      </c>
      <c r="G25" s="20" t="s">
        <v>45</v>
      </c>
      <c r="H25" s="14" t="b">
        <v>1</v>
      </c>
      <c r="I25" s="21"/>
      <c r="J25" s="21"/>
      <c r="K25" s="14" t="b">
        <v>0</v>
      </c>
    </row>
    <row r="26" ht="22.5" customHeight="1">
      <c r="A26" s="17">
        <v>25.0</v>
      </c>
      <c r="B26" s="19" t="s">
        <v>184</v>
      </c>
      <c r="C26" s="20" t="s">
        <v>127</v>
      </c>
      <c r="D26" s="21" t="s">
        <v>90</v>
      </c>
      <c r="E26" s="21" t="s">
        <v>91</v>
      </c>
      <c r="F26" s="21" t="s">
        <v>185</v>
      </c>
      <c r="G26" s="20" t="s">
        <v>45</v>
      </c>
      <c r="H26" s="14" t="b">
        <v>1</v>
      </c>
      <c r="I26" s="21"/>
      <c r="J26" s="21"/>
      <c r="K26" s="14" t="b">
        <v>0</v>
      </c>
    </row>
    <row r="27" ht="22.5" customHeight="1">
      <c r="A27" s="17">
        <v>26.0</v>
      </c>
      <c r="B27" s="79" t="s">
        <v>189</v>
      </c>
      <c r="C27" s="20" t="s">
        <v>190</v>
      </c>
      <c r="D27" s="80" t="s">
        <v>70</v>
      </c>
      <c r="E27" s="80" t="s">
        <v>43</v>
      </c>
      <c r="F27" s="80"/>
      <c r="G27" s="81" t="s">
        <v>45</v>
      </c>
      <c r="H27" s="82" t="b">
        <v>1</v>
      </c>
      <c r="I27" s="80"/>
      <c r="J27" s="80"/>
      <c r="K27" s="83"/>
    </row>
    <row r="28" ht="22.5" customHeight="1">
      <c r="A28" s="17">
        <v>27.0</v>
      </c>
      <c r="B28" s="19" t="s">
        <v>192</v>
      </c>
      <c r="C28" s="20" t="s">
        <v>190</v>
      </c>
      <c r="D28" s="21" t="s">
        <v>193</v>
      </c>
      <c r="E28" s="21" t="s">
        <v>194</v>
      </c>
      <c r="F28" s="21"/>
      <c r="G28" s="20" t="s">
        <v>58</v>
      </c>
      <c r="H28" s="14" t="b">
        <v>1</v>
      </c>
      <c r="I28" s="21"/>
      <c r="J28" s="21"/>
      <c r="K28" s="14" t="b">
        <v>0</v>
      </c>
    </row>
    <row r="29" ht="22.5" customHeight="1">
      <c r="A29" s="17">
        <v>28.0</v>
      </c>
      <c r="B29" s="19" t="s">
        <v>197</v>
      </c>
      <c r="C29" s="20" t="s">
        <v>190</v>
      </c>
      <c r="D29" s="21" t="s">
        <v>198</v>
      </c>
      <c r="E29" s="21" t="s">
        <v>56</v>
      </c>
      <c r="F29" s="21"/>
      <c r="G29" s="20" t="s">
        <v>45</v>
      </c>
      <c r="H29" s="14" t="b">
        <v>1</v>
      </c>
      <c r="I29" s="21"/>
      <c r="J29" s="21"/>
      <c r="K29" s="14" t="b">
        <v>0</v>
      </c>
    </row>
    <row r="30" ht="22.5" customHeight="1">
      <c r="A30" s="17">
        <v>29.0</v>
      </c>
      <c r="B30" s="19" t="s">
        <v>200</v>
      </c>
      <c r="C30" s="20" t="s">
        <v>190</v>
      </c>
      <c r="D30" s="21" t="s">
        <v>201</v>
      </c>
      <c r="E30" s="21" t="s">
        <v>202</v>
      </c>
      <c r="F30" s="21"/>
      <c r="G30" s="20" t="s">
        <v>45</v>
      </c>
      <c r="H30" s="14" t="b">
        <v>1</v>
      </c>
      <c r="I30" s="21"/>
      <c r="J30" s="21"/>
      <c r="K30" s="14" t="b">
        <v>0</v>
      </c>
    </row>
    <row r="31" ht="22.5" customHeight="1">
      <c r="A31" s="17">
        <v>30.0</v>
      </c>
      <c r="B31" s="19" t="s">
        <v>203</v>
      </c>
      <c r="C31" s="20" t="s">
        <v>190</v>
      </c>
      <c r="D31" s="21" t="s">
        <v>193</v>
      </c>
      <c r="E31" s="21" t="s">
        <v>194</v>
      </c>
      <c r="F31" s="21"/>
      <c r="G31" s="20" t="s">
        <v>45</v>
      </c>
      <c r="H31" s="14" t="b">
        <v>1</v>
      </c>
      <c r="I31" s="21"/>
      <c r="J31" s="21"/>
      <c r="K31" s="14" t="b">
        <v>0</v>
      </c>
    </row>
    <row r="32" ht="22.5" customHeight="1">
      <c r="A32" s="17">
        <v>31.0</v>
      </c>
      <c r="B32" s="19" t="s">
        <v>205</v>
      </c>
      <c r="C32" s="20" t="s">
        <v>190</v>
      </c>
      <c r="D32" s="21" t="s">
        <v>193</v>
      </c>
      <c r="E32" s="21" t="s">
        <v>194</v>
      </c>
      <c r="F32" s="21"/>
      <c r="G32" s="20" t="s">
        <v>45</v>
      </c>
      <c r="H32" s="14" t="b">
        <v>1</v>
      </c>
      <c r="I32" s="21"/>
      <c r="J32" s="21"/>
      <c r="K32" s="14" t="b">
        <v>0</v>
      </c>
    </row>
    <row r="33" ht="22.5" customHeight="1">
      <c r="A33" s="17">
        <v>32.0</v>
      </c>
      <c r="B33" s="19" t="s">
        <v>207</v>
      </c>
      <c r="C33" s="20" t="s">
        <v>190</v>
      </c>
      <c r="D33" s="19" t="s">
        <v>208</v>
      </c>
      <c r="E33" s="21" t="s">
        <v>194</v>
      </c>
      <c r="F33" s="19" t="s">
        <v>209</v>
      </c>
      <c r="G33" s="20" t="s">
        <v>45</v>
      </c>
      <c r="H33" s="14" t="b">
        <v>1</v>
      </c>
      <c r="I33" s="21"/>
      <c r="J33" s="21"/>
      <c r="K33" s="14" t="b">
        <v>0</v>
      </c>
    </row>
    <row r="34" ht="22.5" customHeight="1">
      <c r="A34" s="17">
        <v>33.0</v>
      </c>
      <c r="B34" s="19" t="s">
        <v>211</v>
      </c>
      <c r="C34" s="20" t="s">
        <v>190</v>
      </c>
      <c r="D34" s="21" t="s">
        <v>193</v>
      </c>
      <c r="E34" s="21" t="s">
        <v>194</v>
      </c>
      <c r="F34" s="19" t="s">
        <v>212</v>
      </c>
      <c r="G34" s="20" t="s">
        <v>45</v>
      </c>
      <c r="H34" s="14" t="b">
        <v>1</v>
      </c>
      <c r="I34" s="21"/>
      <c r="J34" s="21"/>
      <c r="K34" s="14" t="b">
        <v>0</v>
      </c>
    </row>
    <row r="35" ht="22.5" customHeight="1">
      <c r="A35" s="17">
        <v>34.0</v>
      </c>
      <c r="B35" s="19" t="s">
        <v>214</v>
      </c>
      <c r="C35" s="20" t="s">
        <v>190</v>
      </c>
      <c r="D35" s="21" t="s">
        <v>215</v>
      </c>
      <c r="E35" s="21" t="s">
        <v>216</v>
      </c>
      <c r="F35" s="21"/>
      <c r="G35" s="20" t="s">
        <v>58</v>
      </c>
      <c r="H35" s="14" t="b">
        <v>1</v>
      </c>
      <c r="I35" s="21"/>
      <c r="J35" s="21"/>
      <c r="K35" s="14" t="b">
        <v>0</v>
      </c>
    </row>
    <row r="36" ht="22.5" customHeight="1">
      <c r="A36" s="17">
        <v>35.0</v>
      </c>
      <c r="B36" s="19" t="s">
        <v>219</v>
      </c>
      <c r="C36" s="20" t="s">
        <v>190</v>
      </c>
      <c r="D36" s="19" t="s">
        <v>220</v>
      </c>
      <c r="E36" s="21" t="s">
        <v>221</v>
      </c>
      <c r="F36" s="21" t="s">
        <v>222</v>
      </c>
      <c r="G36" s="20" t="s">
        <v>45</v>
      </c>
      <c r="H36" s="14" t="b">
        <v>1</v>
      </c>
      <c r="I36" s="21"/>
      <c r="J36" s="21"/>
      <c r="K36" s="14" t="b">
        <v>0</v>
      </c>
    </row>
    <row r="37" ht="22.5" customHeight="1">
      <c r="A37" s="17">
        <v>36.0</v>
      </c>
      <c r="B37" s="19" t="s">
        <v>224</v>
      </c>
      <c r="C37" s="20" t="s">
        <v>190</v>
      </c>
      <c r="D37" s="21" t="s">
        <v>225</v>
      </c>
      <c r="E37" s="21" t="s">
        <v>194</v>
      </c>
      <c r="F37" s="21"/>
      <c r="G37" s="20" t="s">
        <v>45</v>
      </c>
      <c r="H37" s="14" t="b">
        <v>1</v>
      </c>
      <c r="I37" s="21"/>
      <c r="J37" s="21"/>
      <c r="K37" s="14" t="b">
        <v>0</v>
      </c>
    </row>
    <row r="38" ht="22.5" customHeight="1">
      <c r="A38" s="17">
        <v>37.0</v>
      </c>
      <c r="B38" s="19" t="s">
        <v>227</v>
      </c>
      <c r="C38" s="20" t="s">
        <v>190</v>
      </c>
      <c r="D38" s="21" t="s">
        <v>193</v>
      </c>
      <c r="E38" s="21" t="s">
        <v>194</v>
      </c>
      <c r="F38" s="21"/>
      <c r="G38" s="20" t="s">
        <v>45</v>
      </c>
      <c r="H38" s="14" t="b">
        <v>1</v>
      </c>
      <c r="I38" s="21"/>
      <c r="J38" s="21"/>
      <c r="K38" s="14" t="b">
        <v>0</v>
      </c>
    </row>
    <row r="39" ht="22.5" customHeight="1">
      <c r="A39" s="17">
        <v>38.0</v>
      </c>
      <c r="B39" s="19" t="s">
        <v>229</v>
      </c>
      <c r="C39" s="20" t="s">
        <v>190</v>
      </c>
      <c r="D39" s="21" t="s">
        <v>193</v>
      </c>
      <c r="E39" s="21" t="s">
        <v>194</v>
      </c>
      <c r="F39" s="21"/>
      <c r="G39" s="20" t="s">
        <v>58</v>
      </c>
      <c r="H39" s="14" t="b">
        <v>1</v>
      </c>
      <c r="I39" s="21"/>
      <c r="J39" s="21"/>
      <c r="K39" s="14" t="b">
        <v>0</v>
      </c>
    </row>
    <row r="40" ht="22.5" customHeight="1">
      <c r="A40" s="17">
        <v>39.0</v>
      </c>
      <c r="B40" s="19" t="s">
        <v>231</v>
      </c>
      <c r="C40" s="20" t="s">
        <v>190</v>
      </c>
      <c r="D40" s="19" t="s">
        <v>193</v>
      </c>
      <c r="E40" s="21" t="s">
        <v>194</v>
      </c>
      <c r="F40" s="21"/>
      <c r="G40" s="20" t="s">
        <v>45</v>
      </c>
      <c r="H40" s="14" t="b">
        <v>1</v>
      </c>
      <c r="I40" s="21"/>
      <c r="J40" s="21"/>
      <c r="K40" s="14" t="b">
        <v>0</v>
      </c>
    </row>
    <row r="41" ht="22.5" customHeight="1">
      <c r="A41" s="17">
        <v>40.0</v>
      </c>
      <c r="B41" s="19" t="s">
        <v>236</v>
      </c>
      <c r="C41" s="20" t="s">
        <v>190</v>
      </c>
      <c r="D41" s="21" t="s">
        <v>237</v>
      </c>
      <c r="E41" s="21" t="s">
        <v>238</v>
      </c>
      <c r="F41" s="21"/>
      <c r="G41" s="20" t="s">
        <v>45</v>
      </c>
      <c r="H41" s="14" t="b">
        <v>1</v>
      </c>
      <c r="I41" s="21"/>
      <c r="J41" s="21"/>
      <c r="K41" s="14" t="b">
        <v>0</v>
      </c>
    </row>
    <row r="42" ht="22.5" customHeight="1">
      <c r="A42" s="17">
        <v>41.0</v>
      </c>
      <c r="B42" s="19" t="s">
        <v>240</v>
      </c>
      <c r="C42" s="20" t="s">
        <v>190</v>
      </c>
      <c r="D42" s="21" t="s">
        <v>237</v>
      </c>
      <c r="E42" s="21" t="s">
        <v>238</v>
      </c>
      <c r="F42" s="21"/>
      <c r="G42" s="20" t="s">
        <v>45</v>
      </c>
      <c r="H42" s="14" t="b">
        <v>1</v>
      </c>
      <c r="I42" s="21"/>
      <c r="J42" s="21"/>
      <c r="K42" s="14" t="b">
        <v>0</v>
      </c>
    </row>
    <row r="43" ht="22.5" customHeight="1">
      <c r="A43" s="17">
        <v>42.0</v>
      </c>
      <c r="B43" s="19" t="s">
        <v>242</v>
      </c>
      <c r="C43" s="20" t="s">
        <v>190</v>
      </c>
      <c r="D43" s="21" t="s">
        <v>237</v>
      </c>
      <c r="E43" s="21" t="s">
        <v>238</v>
      </c>
      <c r="F43" s="21"/>
      <c r="G43" s="20" t="s">
        <v>45</v>
      </c>
      <c r="H43" s="14" t="b">
        <v>1</v>
      </c>
      <c r="I43" s="21"/>
      <c r="J43" s="21"/>
      <c r="K43" s="14" t="b">
        <v>0</v>
      </c>
    </row>
    <row r="44" ht="22.5" customHeight="1">
      <c r="A44" s="17">
        <v>43.0</v>
      </c>
      <c r="B44" s="19" t="s">
        <v>246</v>
      </c>
      <c r="C44" s="20" t="s">
        <v>190</v>
      </c>
      <c r="D44" s="19" t="s">
        <v>220</v>
      </c>
      <c r="E44" s="21" t="s">
        <v>221</v>
      </c>
      <c r="F44" s="21"/>
      <c r="G44" s="20" t="s">
        <v>45</v>
      </c>
      <c r="H44" s="14" t="b">
        <v>1</v>
      </c>
      <c r="I44" s="21"/>
      <c r="J44" s="21"/>
      <c r="K44" s="14" t="b">
        <v>0</v>
      </c>
    </row>
    <row r="45" ht="22.5" customHeight="1">
      <c r="A45" s="17">
        <v>44.0</v>
      </c>
      <c r="B45" s="79" t="s">
        <v>249</v>
      </c>
      <c r="C45" s="20" t="s">
        <v>190</v>
      </c>
      <c r="D45" s="79" t="s">
        <v>220</v>
      </c>
      <c r="E45" s="80" t="s">
        <v>221</v>
      </c>
      <c r="F45" s="80"/>
      <c r="G45" s="20" t="s">
        <v>45</v>
      </c>
      <c r="H45" s="82" t="b">
        <v>1</v>
      </c>
      <c r="I45" s="80"/>
      <c r="J45" s="80"/>
      <c r="K45" s="82" t="b">
        <v>0</v>
      </c>
    </row>
    <row r="46" ht="22.5" customHeight="1">
      <c r="A46" s="17">
        <v>45.0</v>
      </c>
      <c r="B46" s="79" t="s">
        <v>251</v>
      </c>
      <c r="C46" s="20" t="s">
        <v>190</v>
      </c>
      <c r="D46" s="79" t="s">
        <v>220</v>
      </c>
      <c r="E46" s="80" t="s">
        <v>221</v>
      </c>
      <c r="F46" s="80"/>
      <c r="G46" s="20" t="s">
        <v>45</v>
      </c>
      <c r="H46" s="82" t="b">
        <v>1</v>
      </c>
      <c r="I46" s="80"/>
      <c r="J46" s="80"/>
      <c r="K46" s="82" t="b">
        <v>0</v>
      </c>
    </row>
    <row r="47" ht="22.5" customHeight="1">
      <c r="A47" s="17">
        <v>46.0</v>
      </c>
      <c r="B47" s="79" t="s">
        <v>254</v>
      </c>
      <c r="C47" s="20" t="s">
        <v>190</v>
      </c>
      <c r="D47" s="80" t="s">
        <v>256</v>
      </c>
      <c r="E47" s="80" t="s">
        <v>238</v>
      </c>
      <c r="F47" s="80"/>
      <c r="G47" s="81" t="s">
        <v>58</v>
      </c>
      <c r="H47" s="82" t="b">
        <v>1</v>
      </c>
      <c r="I47" s="80"/>
      <c r="J47" s="80"/>
      <c r="K47" s="82" t="b">
        <v>0</v>
      </c>
    </row>
    <row r="48" ht="22.5" customHeight="1">
      <c r="A48" s="17">
        <v>47.0</v>
      </c>
      <c r="B48" s="79" t="s">
        <v>260</v>
      </c>
      <c r="C48" s="20" t="s">
        <v>190</v>
      </c>
      <c r="D48" s="80" t="s">
        <v>256</v>
      </c>
      <c r="E48" s="80" t="s">
        <v>238</v>
      </c>
      <c r="F48" s="80"/>
      <c r="G48" s="81" t="s">
        <v>58</v>
      </c>
      <c r="H48" s="82" t="b">
        <v>1</v>
      </c>
      <c r="I48" s="80"/>
      <c r="J48" s="80"/>
      <c r="K48" s="82" t="b">
        <v>0</v>
      </c>
    </row>
    <row r="49" ht="22.5" customHeight="1">
      <c r="A49" s="17">
        <v>48.0</v>
      </c>
      <c r="B49" s="93" t="s">
        <v>268</v>
      </c>
      <c r="C49" s="20" t="s">
        <v>190</v>
      </c>
      <c r="D49" s="80" t="s">
        <v>70</v>
      </c>
      <c r="E49" s="80" t="s">
        <v>43</v>
      </c>
      <c r="F49" s="80"/>
      <c r="G49" s="81" t="s">
        <v>45</v>
      </c>
      <c r="H49" s="82" t="b">
        <v>1</v>
      </c>
      <c r="I49" s="80"/>
      <c r="J49" s="80"/>
      <c r="K49" s="83"/>
    </row>
    <row r="50" ht="22.5" customHeight="1">
      <c r="A50" s="17">
        <v>49.0</v>
      </c>
      <c r="B50" s="79" t="s">
        <v>277</v>
      </c>
      <c r="C50" s="20" t="s">
        <v>279</v>
      </c>
      <c r="D50" s="80" t="s">
        <v>70</v>
      </c>
      <c r="E50" s="80" t="s">
        <v>43</v>
      </c>
      <c r="F50" s="80"/>
      <c r="G50" s="81" t="s">
        <v>45</v>
      </c>
      <c r="H50" s="82" t="b">
        <v>1</v>
      </c>
      <c r="I50" s="80"/>
      <c r="J50" s="80"/>
      <c r="K50" s="83"/>
    </row>
    <row r="51" ht="22.5" customHeight="1">
      <c r="A51" s="17">
        <v>50.0</v>
      </c>
      <c r="B51" s="79" t="s">
        <v>286</v>
      </c>
      <c r="C51" s="20" t="s">
        <v>279</v>
      </c>
      <c r="D51" s="80" t="s">
        <v>70</v>
      </c>
      <c r="E51" s="80" t="s">
        <v>43</v>
      </c>
      <c r="F51" s="80"/>
      <c r="G51" s="81" t="s">
        <v>45</v>
      </c>
      <c r="H51" s="82" t="b">
        <v>1</v>
      </c>
      <c r="I51" s="80"/>
      <c r="J51" s="80"/>
      <c r="K51" s="83"/>
    </row>
    <row r="52" ht="22.5" customHeight="1">
      <c r="A52" s="17">
        <v>51.0</v>
      </c>
      <c r="B52" s="79" t="s">
        <v>291</v>
      </c>
      <c r="C52" s="20" t="s">
        <v>279</v>
      </c>
      <c r="D52" s="80"/>
      <c r="E52" s="80"/>
      <c r="F52" s="80"/>
      <c r="G52" s="81" t="s">
        <v>45</v>
      </c>
      <c r="H52" s="82" t="b">
        <v>1</v>
      </c>
      <c r="I52" s="80"/>
      <c r="J52" s="80"/>
      <c r="K52" s="82" t="b">
        <v>0</v>
      </c>
    </row>
    <row r="53" ht="22.5" customHeight="1">
      <c r="A53" s="17">
        <v>52.0</v>
      </c>
      <c r="B53" s="79" t="s">
        <v>295</v>
      </c>
      <c r="C53" s="20" t="s">
        <v>190</v>
      </c>
      <c r="D53" s="80" t="s">
        <v>193</v>
      </c>
      <c r="E53" s="80" t="s">
        <v>194</v>
      </c>
      <c r="F53" s="80"/>
      <c r="G53" s="81" t="s">
        <v>45</v>
      </c>
      <c r="H53" s="82" t="b">
        <v>1</v>
      </c>
      <c r="I53" s="80"/>
      <c r="J53" s="80"/>
      <c r="K53" s="82" t="b">
        <v>0</v>
      </c>
    </row>
    <row r="54" ht="22.5" customHeight="1">
      <c r="A54" s="17">
        <v>53.0</v>
      </c>
      <c r="B54" s="79" t="s">
        <v>297</v>
      </c>
      <c r="C54" s="20" t="s">
        <v>190</v>
      </c>
      <c r="D54" s="80" t="s">
        <v>193</v>
      </c>
      <c r="E54" s="80" t="s">
        <v>194</v>
      </c>
      <c r="F54" s="80"/>
      <c r="G54" s="81" t="s">
        <v>45</v>
      </c>
      <c r="H54" s="82" t="b">
        <v>1</v>
      </c>
      <c r="I54" s="80"/>
      <c r="J54" s="80"/>
      <c r="K54" s="82" t="b">
        <v>0</v>
      </c>
    </row>
    <row r="55" ht="22.5" customHeight="1">
      <c r="A55" s="17">
        <v>54.0</v>
      </c>
      <c r="B55" s="79" t="s">
        <v>299</v>
      </c>
      <c r="C55" s="20" t="s">
        <v>190</v>
      </c>
      <c r="D55" s="80" t="s">
        <v>193</v>
      </c>
      <c r="E55" s="80" t="s">
        <v>194</v>
      </c>
      <c r="F55" s="80"/>
      <c r="G55" s="81" t="s">
        <v>45</v>
      </c>
      <c r="H55" s="82" t="b">
        <v>1</v>
      </c>
      <c r="I55" s="80"/>
      <c r="J55" s="80"/>
      <c r="K55" s="82" t="b">
        <v>0</v>
      </c>
    </row>
    <row r="56" ht="22.5" customHeight="1">
      <c r="A56" s="17">
        <v>55.0</v>
      </c>
      <c r="B56" s="79" t="s">
        <v>303</v>
      </c>
      <c r="C56" s="20" t="s">
        <v>190</v>
      </c>
      <c r="D56" s="80" t="s">
        <v>70</v>
      </c>
      <c r="E56" s="80" t="s">
        <v>304</v>
      </c>
      <c r="F56" s="80"/>
      <c r="G56" s="81" t="s">
        <v>45</v>
      </c>
      <c r="H56" s="82" t="b">
        <v>1</v>
      </c>
      <c r="I56" s="80"/>
      <c r="J56" s="80"/>
      <c r="K56" s="82" t="b">
        <v>0</v>
      </c>
    </row>
    <row r="57" ht="22.5" customHeight="1">
      <c r="A57" s="17">
        <v>56.0</v>
      </c>
      <c r="B57" s="79" t="s">
        <v>307</v>
      </c>
      <c r="C57" s="20" t="s">
        <v>190</v>
      </c>
      <c r="D57" s="80" t="s">
        <v>193</v>
      </c>
      <c r="E57" s="80" t="s">
        <v>56</v>
      </c>
      <c r="F57" s="80"/>
      <c r="G57" s="81" t="s">
        <v>45</v>
      </c>
      <c r="H57" s="82" t="b">
        <v>1</v>
      </c>
      <c r="I57" s="80"/>
      <c r="J57" s="80"/>
      <c r="K57" s="82" t="b">
        <v>0</v>
      </c>
    </row>
    <row r="58" ht="22.5" customHeight="1">
      <c r="A58" s="17">
        <v>57.0</v>
      </c>
      <c r="B58" s="79" t="s">
        <v>309</v>
      </c>
      <c r="C58" s="20" t="s">
        <v>88</v>
      </c>
      <c r="D58" s="80" t="s">
        <v>90</v>
      </c>
      <c r="E58" s="80" t="s">
        <v>91</v>
      </c>
      <c r="F58" s="80"/>
      <c r="G58" s="81" t="s">
        <v>45</v>
      </c>
      <c r="H58" s="82" t="b">
        <v>1</v>
      </c>
      <c r="I58" s="80"/>
      <c r="J58" s="80"/>
      <c r="K58" s="82" t="b">
        <v>0</v>
      </c>
    </row>
    <row r="59" ht="22.5" customHeight="1">
      <c r="A59" s="17">
        <v>58.0</v>
      </c>
      <c r="B59" s="79" t="s">
        <v>313</v>
      </c>
      <c r="C59" s="81" t="s">
        <v>190</v>
      </c>
      <c r="D59" s="80" t="s">
        <v>193</v>
      </c>
      <c r="E59" s="80" t="s">
        <v>194</v>
      </c>
      <c r="F59" s="80"/>
      <c r="G59" s="81" t="s">
        <v>45</v>
      </c>
      <c r="H59" s="82" t="b">
        <v>1</v>
      </c>
      <c r="I59" s="80"/>
      <c r="J59" s="80"/>
      <c r="K59" s="82" t="b">
        <v>0</v>
      </c>
    </row>
    <row r="60" ht="22.5" customHeight="1">
      <c r="A60" s="17">
        <v>59.0</v>
      </c>
      <c r="B60" s="79" t="s">
        <v>315</v>
      </c>
      <c r="C60" s="81" t="s">
        <v>190</v>
      </c>
      <c r="D60" s="80" t="s">
        <v>215</v>
      </c>
      <c r="E60" s="80" t="s">
        <v>216</v>
      </c>
      <c r="F60" s="80"/>
      <c r="G60" s="81" t="s">
        <v>58</v>
      </c>
      <c r="H60" s="82" t="b">
        <v>1</v>
      </c>
      <c r="I60" s="80"/>
      <c r="J60" s="80"/>
      <c r="K60" s="82" t="b">
        <v>0</v>
      </c>
    </row>
    <row r="61" ht="22.5" customHeight="1">
      <c r="A61" s="17">
        <v>60.0</v>
      </c>
      <c r="B61" s="79" t="s">
        <v>318</v>
      </c>
      <c r="C61" s="81" t="s">
        <v>190</v>
      </c>
      <c r="D61" s="80" t="s">
        <v>237</v>
      </c>
      <c r="E61" s="80" t="s">
        <v>238</v>
      </c>
      <c r="F61" s="80"/>
      <c r="G61" s="81" t="s">
        <v>45</v>
      </c>
      <c r="H61" s="82" t="b">
        <v>1</v>
      </c>
      <c r="I61" s="80"/>
      <c r="J61" s="80"/>
      <c r="K61" s="82" t="b">
        <v>0</v>
      </c>
    </row>
    <row r="62" ht="22.5" customHeight="1">
      <c r="A62" s="17">
        <v>61.0</v>
      </c>
      <c r="B62" s="79" t="s">
        <v>321</v>
      </c>
      <c r="C62" s="81" t="s">
        <v>190</v>
      </c>
      <c r="D62" s="80" t="s">
        <v>193</v>
      </c>
      <c r="E62" s="80" t="s">
        <v>194</v>
      </c>
      <c r="F62" s="80" t="s">
        <v>322</v>
      </c>
      <c r="G62" s="81" t="s">
        <v>45</v>
      </c>
      <c r="H62" s="82" t="b">
        <v>1</v>
      </c>
      <c r="I62" s="80"/>
      <c r="J62" s="80"/>
      <c r="K62" s="82" t="b">
        <v>0</v>
      </c>
    </row>
    <row r="63" ht="22.5" customHeight="1">
      <c r="A63" s="17">
        <v>62.0</v>
      </c>
      <c r="B63" s="79" t="s">
        <v>325</v>
      </c>
      <c r="C63" s="81" t="s">
        <v>190</v>
      </c>
      <c r="D63" s="79" t="s">
        <v>326</v>
      </c>
      <c r="E63" s="80" t="s">
        <v>238</v>
      </c>
      <c r="F63" s="80" t="s">
        <v>327</v>
      </c>
      <c r="G63" s="81" t="s">
        <v>45</v>
      </c>
      <c r="H63" s="82" t="b">
        <v>1</v>
      </c>
      <c r="I63" s="80"/>
      <c r="J63" s="80"/>
      <c r="K63" s="82" t="b">
        <v>0</v>
      </c>
    </row>
    <row r="64" ht="22.5" customHeight="1">
      <c r="A64" s="17">
        <v>63.0</v>
      </c>
      <c r="B64" s="79" t="s">
        <v>329</v>
      </c>
      <c r="C64" s="81" t="s">
        <v>190</v>
      </c>
      <c r="D64" s="79" t="s">
        <v>237</v>
      </c>
      <c r="E64" s="80" t="s">
        <v>238</v>
      </c>
      <c r="F64" s="80" t="s">
        <v>330</v>
      </c>
      <c r="G64" s="81" t="s">
        <v>45</v>
      </c>
      <c r="H64" s="82" t="b">
        <v>1</v>
      </c>
      <c r="I64" s="80"/>
      <c r="J64" s="80"/>
      <c r="K64" s="82" t="b">
        <v>0</v>
      </c>
    </row>
    <row r="65" ht="22.5" customHeight="1">
      <c r="A65" s="103">
        <v>64.0</v>
      </c>
      <c r="B65" s="79" t="s">
        <v>332</v>
      </c>
      <c r="C65" s="81" t="s">
        <v>190</v>
      </c>
      <c r="D65" s="79"/>
      <c r="E65" s="80"/>
      <c r="F65" s="80"/>
      <c r="G65" s="81" t="s">
        <v>45</v>
      </c>
      <c r="H65" s="82" t="b">
        <v>1</v>
      </c>
      <c r="I65" s="80"/>
      <c r="J65" s="80"/>
      <c r="K65" s="82" t="b">
        <v>0</v>
      </c>
    </row>
    <row r="66">
      <c r="A66" s="104"/>
    </row>
    <row r="67">
      <c r="A67" s="104"/>
    </row>
    <row r="68">
      <c r="A68" s="104"/>
      <c r="B68" s="105" t="s">
        <v>336</v>
      </c>
    </row>
    <row r="69">
      <c r="A69" s="104"/>
      <c r="B69" s="105" t="s">
        <v>337</v>
      </c>
    </row>
    <row r="70">
      <c r="A70" s="104"/>
      <c r="B70" s="105" t="s">
        <v>338</v>
      </c>
    </row>
    <row r="71">
      <c r="A71" s="104"/>
      <c r="B71" s="97" t="s">
        <v>339</v>
      </c>
      <c r="C71" s="106">
        <f>COUNTIF(H2:H996,TRUE)</f>
        <v>64</v>
      </c>
    </row>
    <row r="72">
      <c r="A72" s="104"/>
      <c r="B72" s="97" t="s">
        <v>341</v>
      </c>
      <c r="C72" s="106">
        <f>COUNTIF(H2:H996,FALSE)</f>
        <v>0</v>
      </c>
    </row>
    <row r="73">
      <c r="A73" s="104"/>
      <c r="B73" s="107"/>
    </row>
    <row r="74">
      <c r="A74" s="104"/>
      <c r="B74" s="107"/>
    </row>
    <row r="75">
      <c r="A75" s="104"/>
      <c r="B75" s="107"/>
    </row>
    <row r="76">
      <c r="A76" s="104"/>
      <c r="B76" s="107"/>
    </row>
    <row r="77">
      <c r="A77" s="104"/>
      <c r="B77" s="107"/>
    </row>
    <row r="78">
      <c r="A78" s="104"/>
      <c r="B78" s="107"/>
    </row>
    <row r="79">
      <c r="A79" s="104"/>
      <c r="B79" s="107"/>
    </row>
    <row r="80">
      <c r="A80" s="104"/>
      <c r="B80" s="107"/>
    </row>
    <row r="81">
      <c r="A81" s="104"/>
      <c r="B81" s="107"/>
    </row>
    <row r="82">
      <c r="A82" s="104"/>
      <c r="B82" s="107"/>
    </row>
    <row r="83">
      <c r="A83" s="104"/>
      <c r="B83" s="107"/>
    </row>
    <row r="84">
      <c r="A84" s="104"/>
      <c r="B84" s="107"/>
    </row>
    <row r="85">
      <c r="A85" s="104"/>
      <c r="B85" s="107"/>
    </row>
    <row r="86">
      <c r="A86" s="104"/>
      <c r="B86" s="107"/>
    </row>
    <row r="87">
      <c r="A87" s="104"/>
      <c r="B87" s="107"/>
    </row>
    <row r="88">
      <c r="A88" s="104"/>
      <c r="B88" s="107"/>
    </row>
    <row r="89">
      <c r="A89" s="104"/>
      <c r="B89" s="107"/>
    </row>
    <row r="90">
      <c r="A90" s="104"/>
      <c r="B90" s="107"/>
    </row>
    <row r="91">
      <c r="A91" s="104"/>
      <c r="B91" s="107"/>
    </row>
    <row r="92">
      <c r="A92" s="104"/>
      <c r="B92" s="107"/>
    </row>
    <row r="93">
      <c r="A93" s="104"/>
      <c r="B93" s="107"/>
    </row>
    <row r="94">
      <c r="A94" s="104"/>
      <c r="B94" s="107"/>
    </row>
    <row r="95">
      <c r="A95" s="104"/>
      <c r="B95" s="107"/>
    </row>
    <row r="96">
      <c r="A96" s="104"/>
      <c r="B96" s="107"/>
    </row>
    <row r="97">
      <c r="A97" s="104"/>
      <c r="B97" s="107"/>
    </row>
    <row r="98">
      <c r="A98" s="104"/>
      <c r="B98" s="107"/>
    </row>
    <row r="99">
      <c r="A99" s="104"/>
      <c r="B99" s="107"/>
    </row>
    <row r="100">
      <c r="A100" s="104"/>
      <c r="B100" s="107"/>
    </row>
    <row r="101">
      <c r="A101" s="104"/>
      <c r="B101" s="107"/>
    </row>
    <row r="102">
      <c r="A102" s="104"/>
      <c r="B102" s="107"/>
    </row>
    <row r="103">
      <c r="A103" s="104"/>
      <c r="B103" s="107"/>
    </row>
    <row r="104">
      <c r="A104" s="104"/>
      <c r="B104" s="107"/>
    </row>
    <row r="105">
      <c r="A105" s="104"/>
      <c r="B105" s="107"/>
    </row>
    <row r="106">
      <c r="A106" s="104"/>
      <c r="B106" s="107"/>
    </row>
    <row r="107">
      <c r="A107" s="104"/>
      <c r="B107" s="107"/>
    </row>
    <row r="108">
      <c r="A108" s="104"/>
      <c r="B108" s="107"/>
    </row>
    <row r="109">
      <c r="A109" s="104"/>
      <c r="B109" s="107"/>
    </row>
    <row r="110">
      <c r="A110" s="104"/>
      <c r="B110" s="107"/>
    </row>
    <row r="111">
      <c r="A111" s="104"/>
      <c r="B111" s="107"/>
    </row>
    <row r="112">
      <c r="A112" s="104"/>
      <c r="B112" s="107"/>
    </row>
    <row r="113">
      <c r="A113" s="104"/>
      <c r="B113" s="107"/>
    </row>
    <row r="114">
      <c r="A114" s="104"/>
      <c r="B114" s="107"/>
    </row>
    <row r="115">
      <c r="A115" s="104"/>
      <c r="B115" s="107"/>
    </row>
    <row r="116">
      <c r="A116" s="104"/>
      <c r="B116" s="107"/>
    </row>
    <row r="117">
      <c r="A117" s="104"/>
      <c r="B117" s="107"/>
    </row>
    <row r="118">
      <c r="A118" s="104"/>
      <c r="B118" s="107"/>
    </row>
    <row r="119">
      <c r="A119" s="104"/>
      <c r="B119" s="107"/>
    </row>
    <row r="120">
      <c r="A120" s="104"/>
      <c r="B120" s="107"/>
    </row>
    <row r="121">
      <c r="A121" s="104"/>
      <c r="B121" s="107"/>
    </row>
    <row r="122">
      <c r="A122" s="104"/>
      <c r="B122" s="107"/>
    </row>
    <row r="123">
      <c r="A123" s="104"/>
      <c r="B123" s="107"/>
    </row>
    <row r="124">
      <c r="A124" s="104"/>
      <c r="B124" s="107"/>
    </row>
    <row r="125">
      <c r="A125" s="104"/>
      <c r="B125" s="107"/>
    </row>
    <row r="126">
      <c r="A126" s="104"/>
      <c r="B126" s="107"/>
    </row>
    <row r="127">
      <c r="A127" s="104"/>
      <c r="B127" s="107"/>
    </row>
    <row r="128">
      <c r="A128" s="104"/>
      <c r="B128" s="107"/>
    </row>
    <row r="129">
      <c r="A129" s="104"/>
      <c r="B129" s="107"/>
    </row>
    <row r="130">
      <c r="A130" s="104"/>
      <c r="B130" s="107"/>
    </row>
    <row r="131">
      <c r="A131" s="104"/>
      <c r="B131" s="107"/>
    </row>
    <row r="132">
      <c r="A132" s="104"/>
      <c r="B132" s="107"/>
    </row>
    <row r="133">
      <c r="A133" s="104"/>
      <c r="B133" s="107"/>
    </row>
    <row r="134">
      <c r="A134" s="104"/>
      <c r="B134" s="107"/>
    </row>
    <row r="135">
      <c r="A135" s="104"/>
      <c r="B135" s="107"/>
    </row>
    <row r="136">
      <c r="A136" s="104"/>
      <c r="B136" s="107"/>
    </row>
    <row r="137">
      <c r="A137" s="104"/>
      <c r="B137" s="107"/>
    </row>
    <row r="138">
      <c r="A138" s="104"/>
      <c r="B138" s="107"/>
    </row>
    <row r="139">
      <c r="A139" s="104"/>
      <c r="B139" s="107"/>
    </row>
    <row r="140">
      <c r="A140" s="104"/>
      <c r="B140" s="107"/>
    </row>
    <row r="141">
      <c r="A141" s="104"/>
      <c r="B141" s="107"/>
    </row>
    <row r="142">
      <c r="A142" s="104"/>
      <c r="B142" s="107"/>
    </row>
    <row r="143">
      <c r="A143" s="104"/>
      <c r="B143" s="107"/>
    </row>
    <row r="144">
      <c r="A144" s="104"/>
      <c r="B144" s="107"/>
    </row>
    <row r="145">
      <c r="A145" s="104"/>
      <c r="B145" s="107"/>
    </row>
    <row r="146">
      <c r="A146" s="104"/>
      <c r="B146" s="107"/>
    </row>
    <row r="147">
      <c r="A147" s="104"/>
      <c r="B147" s="107"/>
    </row>
    <row r="148">
      <c r="A148" s="104"/>
      <c r="B148" s="107"/>
    </row>
    <row r="149">
      <c r="A149" s="104"/>
      <c r="B149" s="107"/>
    </row>
    <row r="150">
      <c r="A150" s="104"/>
      <c r="B150" s="107"/>
    </row>
    <row r="151">
      <c r="A151" s="104"/>
      <c r="B151" s="107"/>
    </row>
    <row r="152">
      <c r="A152" s="104"/>
      <c r="B152" s="107"/>
    </row>
    <row r="153">
      <c r="A153" s="104"/>
      <c r="B153" s="107"/>
    </row>
    <row r="154">
      <c r="A154" s="104"/>
      <c r="B154" s="107"/>
    </row>
    <row r="155">
      <c r="A155" s="104"/>
      <c r="B155" s="107"/>
    </row>
    <row r="156">
      <c r="A156" s="104"/>
      <c r="B156" s="107"/>
    </row>
    <row r="157">
      <c r="A157" s="104"/>
      <c r="B157" s="107"/>
    </row>
    <row r="158">
      <c r="A158" s="104"/>
      <c r="B158" s="107"/>
    </row>
    <row r="159">
      <c r="A159" s="104"/>
      <c r="B159" s="107"/>
    </row>
    <row r="160">
      <c r="A160" s="104"/>
      <c r="B160" s="107"/>
    </row>
    <row r="161">
      <c r="A161" s="104"/>
      <c r="B161" s="107"/>
    </row>
    <row r="162">
      <c r="A162" s="104"/>
      <c r="B162" s="107"/>
    </row>
    <row r="163">
      <c r="A163" s="104"/>
      <c r="B163" s="107"/>
    </row>
    <row r="164">
      <c r="A164" s="104"/>
      <c r="B164" s="107"/>
    </row>
    <row r="165">
      <c r="A165" s="104"/>
      <c r="B165" s="107"/>
    </row>
    <row r="166">
      <c r="A166" s="104"/>
      <c r="B166" s="107"/>
    </row>
    <row r="167">
      <c r="A167" s="104"/>
      <c r="B167" s="107"/>
    </row>
    <row r="168">
      <c r="A168" s="104"/>
      <c r="B168" s="107"/>
    </row>
    <row r="169">
      <c r="A169" s="104"/>
      <c r="B169" s="107"/>
    </row>
    <row r="170">
      <c r="A170" s="104"/>
      <c r="B170" s="107"/>
    </row>
    <row r="171">
      <c r="A171" s="104"/>
      <c r="B171" s="107"/>
    </row>
    <row r="172">
      <c r="A172" s="104"/>
      <c r="B172" s="107"/>
    </row>
    <row r="173">
      <c r="A173" s="104"/>
      <c r="B173" s="107"/>
    </row>
    <row r="174">
      <c r="A174" s="104"/>
      <c r="B174" s="107"/>
    </row>
    <row r="175">
      <c r="A175" s="104"/>
      <c r="B175" s="107"/>
    </row>
    <row r="176">
      <c r="A176" s="104"/>
      <c r="B176" s="107"/>
    </row>
    <row r="177">
      <c r="A177" s="104"/>
      <c r="B177" s="107"/>
    </row>
    <row r="178">
      <c r="A178" s="104"/>
      <c r="B178" s="107"/>
    </row>
    <row r="179">
      <c r="A179" s="104"/>
      <c r="B179" s="107"/>
    </row>
    <row r="180">
      <c r="A180" s="104"/>
      <c r="B180" s="107"/>
    </row>
    <row r="181">
      <c r="A181" s="104"/>
      <c r="B181" s="107"/>
    </row>
    <row r="182">
      <c r="A182" s="104"/>
      <c r="B182" s="107"/>
    </row>
    <row r="183">
      <c r="A183" s="104"/>
      <c r="B183" s="107"/>
    </row>
    <row r="184">
      <c r="A184" s="104"/>
      <c r="B184" s="107"/>
    </row>
    <row r="185">
      <c r="A185" s="104"/>
      <c r="B185" s="107"/>
    </row>
    <row r="186">
      <c r="A186" s="104"/>
      <c r="B186" s="107"/>
    </row>
    <row r="187">
      <c r="A187" s="104"/>
      <c r="B187" s="107"/>
    </row>
    <row r="188">
      <c r="A188" s="104"/>
      <c r="B188" s="107"/>
    </row>
    <row r="189">
      <c r="A189" s="104"/>
      <c r="B189" s="107"/>
    </row>
    <row r="190">
      <c r="A190" s="104"/>
      <c r="B190" s="107"/>
    </row>
    <row r="191">
      <c r="A191" s="104"/>
      <c r="B191" s="107"/>
    </row>
    <row r="192">
      <c r="A192" s="104"/>
      <c r="B192" s="107"/>
    </row>
    <row r="193">
      <c r="A193" s="104"/>
      <c r="B193" s="107"/>
    </row>
    <row r="194">
      <c r="A194" s="104"/>
      <c r="B194" s="107"/>
    </row>
    <row r="195">
      <c r="A195" s="104"/>
      <c r="B195" s="107"/>
    </row>
    <row r="196">
      <c r="A196" s="104"/>
      <c r="B196" s="107"/>
    </row>
    <row r="197">
      <c r="A197" s="104"/>
      <c r="B197" s="107"/>
    </row>
    <row r="198">
      <c r="A198" s="104"/>
      <c r="B198" s="107"/>
    </row>
    <row r="199">
      <c r="A199" s="104"/>
      <c r="B199" s="107"/>
    </row>
    <row r="200">
      <c r="A200" s="104"/>
      <c r="B200" s="107"/>
    </row>
    <row r="201">
      <c r="A201" s="104"/>
      <c r="B201" s="107"/>
    </row>
    <row r="202">
      <c r="A202" s="104"/>
      <c r="B202" s="107"/>
    </row>
    <row r="203">
      <c r="A203" s="104"/>
      <c r="B203" s="107"/>
    </row>
    <row r="204">
      <c r="A204" s="104"/>
      <c r="B204" s="107"/>
    </row>
    <row r="205">
      <c r="A205" s="104"/>
      <c r="B205" s="107"/>
    </row>
    <row r="206">
      <c r="A206" s="104"/>
      <c r="B206" s="107"/>
    </row>
    <row r="207">
      <c r="A207" s="104"/>
      <c r="B207" s="107"/>
    </row>
    <row r="208">
      <c r="A208" s="104"/>
      <c r="B208" s="107"/>
    </row>
    <row r="209">
      <c r="A209" s="104"/>
      <c r="B209" s="107"/>
    </row>
    <row r="210">
      <c r="A210" s="104"/>
      <c r="B210" s="107"/>
    </row>
    <row r="211">
      <c r="A211" s="104"/>
      <c r="B211" s="107"/>
    </row>
    <row r="212">
      <c r="A212" s="104"/>
      <c r="B212" s="107"/>
    </row>
    <row r="213">
      <c r="A213" s="104"/>
      <c r="B213" s="107"/>
    </row>
    <row r="214">
      <c r="A214" s="104"/>
      <c r="B214" s="107"/>
    </row>
    <row r="215">
      <c r="A215" s="104"/>
      <c r="B215" s="107"/>
    </row>
    <row r="216">
      <c r="A216" s="104"/>
      <c r="B216" s="107"/>
    </row>
    <row r="217">
      <c r="A217" s="104"/>
      <c r="B217" s="107"/>
    </row>
    <row r="218">
      <c r="A218" s="104"/>
      <c r="B218" s="107"/>
    </row>
    <row r="219">
      <c r="A219" s="104"/>
      <c r="B219" s="107"/>
    </row>
    <row r="220">
      <c r="A220" s="104"/>
      <c r="B220" s="107"/>
    </row>
    <row r="221">
      <c r="A221" s="104"/>
      <c r="B221" s="107"/>
    </row>
    <row r="222">
      <c r="A222" s="104"/>
      <c r="B222" s="107"/>
    </row>
    <row r="223">
      <c r="A223" s="104"/>
      <c r="B223" s="107"/>
    </row>
    <row r="224">
      <c r="A224" s="104"/>
      <c r="B224" s="107"/>
    </row>
    <row r="225">
      <c r="A225" s="104"/>
      <c r="B225" s="107"/>
    </row>
    <row r="226">
      <c r="A226" s="104"/>
      <c r="B226" s="107"/>
    </row>
    <row r="227">
      <c r="A227" s="104"/>
      <c r="B227" s="107"/>
    </row>
    <row r="228">
      <c r="A228" s="104"/>
      <c r="B228" s="107"/>
    </row>
    <row r="229">
      <c r="A229" s="104"/>
      <c r="B229" s="107"/>
    </row>
    <row r="230">
      <c r="A230" s="104"/>
      <c r="B230" s="107"/>
    </row>
    <row r="231">
      <c r="A231" s="104"/>
      <c r="B231" s="107"/>
    </row>
    <row r="232">
      <c r="A232" s="104"/>
      <c r="B232" s="107"/>
    </row>
    <row r="233">
      <c r="A233" s="104"/>
      <c r="B233" s="107"/>
    </row>
    <row r="234">
      <c r="A234" s="104"/>
      <c r="B234" s="107"/>
    </row>
    <row r="235">
      <c r="A235" s="104"/>
      <c r="B235" s="107"/>
    </row>
    <row r="236">
      <c r="A236" s="104"/>
      <c r="B236" s="107"/>
    </row>
    <row r="237">
      <c r="A237" s="104"/>
      <c r="B237" s="107"/>
    </row>
    <row r="238">
      <c r="A238" s="104"/>
      <c r="B238" s="107"/>
    </row>
    <row r="239">
      <c r="A239" s="104"/>
      <c r="B239" s="107"/>
    </row>
    <row r="240">
      <c r="A240" s="104"/>
      <c r="B240" s="107"/>
    </row>
    <row r="241">
      <c r="A241" s="104"/>
      <c r="B241" s="107"/>
    </row>
    <row r="242">
      <c r="A242" s="104"/>
      <c r="B242" s="107"/>
    </row>
    <row r="243">
      <c r="A243" s="104"/>
      <c r="B243" s="107"/>
    </row>
    <row r="244">
      <c r="A244" s="104"/>
      <c r="B244" s="107"/>
    </row>
    <row r="245">
      <c r="A245" s="104"/>
      <c r="B245" s="107"/>
    </row>
    <row r="246">
      <c r="A246" s="104"/>
      <c r="B246" s="107"/>
    </row>
    <row r="247">
      <c r="A247" s="104"/>
      <c r="B247" s="107"/>
    </row>
    <row r="248">
      <c r="A248" s="104"/>
      <c r="B248" s="107"/>
    </row>
    <row r="249">
      <c r="A249" s="104"/>
      <c r="B249" s="107"/>
    </row>
    <row r="250">
      <c r="A250" s="104"/>
      <c r="B250" s="107"/>
    </row>
    <row r="251">
      <c r="A251" s="104"/>
      <c r="B251" s="107"/>
    </row>
    <row r="252">
      <c r="A252" s="104"/>
      <c r="B252" s="107"/>
    </row>
    <row r="253">
      <c r="A253" s="104"/>
      <c r="B253" s="107"/>
    </row>
    <row r="254">
      <c r="A254" s="104"/>
      <c r="B254" s="107"/>
    </row>
    <row r="255">
      <c r="A255" s="104"/>
      <c r="B255" s="107"/>
    </row>
    <row r="256">
      <c r="A256" s="104"/>
      <c r="B256" s="107"/>
    </row>
    <row r="257">
      <c r="A257" s="104"/>
      <c r="B257" s="107"/>
    </row>
    <row r="258">
      <c r="A258" s="104"/>
      <c r="B258" s="107"/>
    </row>
    <row r="259">
      <c r="A259" s="104"/>
      <c r="B259" s="107"/>
    </row>
    <row r="260">
      <c r="A260" s="104"/>
      <c r="B260" s="107"/>
    </row>
    <row r="261">
      <c r="A261" s="104"/>
      <c r="B261" s="107"/>
    </row>
    <row r="262">
      <c r="A262" s="104"/>
      <c r="B262" s="107"/>
    </row>
    <row r="263">
      <c r="A263" s="104"/>
      <c r="B263" s="107"/>
    </row>
    <row r="264">
      <c r="A264" s="104"/>
      <c r="B264" s="107"/>
    </row>
    <row r="265">
      <c r="A265" s="104"/>
      <c r="B265" s="107"/>
    </row>
    <row r="266">
      <c r="A266" s="104"/>
      <c r="B266" s="107"/>
    </row>
    <row r="267">
      <c r="A267" s="104"/>
      <c r="B267" s="107"/>
    </row>
    <row r="268">
      <c r="A268" s="104"/>
      <c r="B268" s="107"/>
    </row>
    <row r="269">
      <c r="A269" s="104"/>
      <c r="B269" s="107"/>
    </row>
    <row r="270">
      <c r="A270" s="104"/>
      <c r="B270" s="107"/>
    </row>
    <row r="271">
      <c r="A271" s="104"/>
      <c r="B271" s="107"/>
    </row>
    <row r="272">
      <c r="A272" s="104"/>
      <c r="B272" s="107"/>
    </row>
    <row r="273">
      <c r="A273" s="104"/>
      <c r="B273" s="107"/>
    </row>
    <row r="274">
      <c r="A274" s="104"/>
      <c r="B274" s="107"/>
    </row>
    <row r="275">
      <c r="A275" s="104"/>
      <c r="B275" s="107"/>
    </row>
    <row r="276">
      <c r="A276" s="104"/>
      <c r="B276" s="107"/>
    </row>
    <row r="277">
      <c r="A277" s="104"/>
      <c r="B277" s="107"/>
    </row>
    <row r="278">
      <c r="A278" s="104"/>
      <c r="B278" s="107"/>
    </row>
    <row r="279">
      <c r="A279" s="104"/>
      <c r="B279" s="107"/>
    </row>
    <row r="280">
      <c r="A280" s="104"/>
      <c r="B280" s="107"/>
    </row>
    <row r="281">
      <c r="A281" s="104"/>
      <c r="B281" s="107"/>
    </row>
    <row r="282">
      <c r="A282" s="104"/>
      <c r="B282" s="107"/>
    </row>
    <row r="283">
      <c r="A283" s="104"/>
      <c r="B283" s="107"/>
    </row>
    <row r="284">
      <c r="A284" s="104"/>
      <c r="B284" s="107"/>
    </row>
    <row r="285">
      <c r="A285" s="104"/>
      <c r="B285" s="107"/>
    </row>
    <row r="286">
      <c r="A286" s="104"/>
      <c r="B286" s="107"/>
    </row>
    <row r="287">
      <c r="A287" s="104"/>
      <c r="B287" s="107"/>
    </row>
    <row r="288">
      <c r="A288" s="104"/>
      <c r="B288" s="107"/>
    </row>
    <row r="289">
      <c r="A289" s="104"/>
      <c r="B289" s="107"/>
    </row>
    <row r="290">
      <c r="A290" s="104"/>
      <c r="B290" s="107"/>
    </row>
    <row r="291">
      <c r="A291" s="104"/>
      <c r="B291" s="107"/>
    </row>
    <row r="292">
      <c r="A292" s="104"/>
      <c r="B292" s="107"/>
    </row>
    <row r="293">
      <c r="A293" s="104"/>
      <c r="B293" s="107"/>
    </row>
    <row r="294">
      <c r="A294" s="104"/>
      <c r="B294" s="107"/>
    </row>
    <row r="295">
      <c r="A295" s="104"/>
      <c r="B295" s="107"/>
    </row>
    <row r="296">
      <c r="A296" s="104"/>
      <c r="B296" s="107"/>
    </row>
    <row r="297">
      <c r="A297" s="104"/>
      <c r="B297" s="107"/>
    </row>
    <row r="298">
      <c r="A298" s="104"/>
      <c r="B298" s="107"/>
    </row>
    <row r="299">
      <c r="A299" s="104"/>
      <c r="B299" s="107"/>
    </row>
    <row r="300">
      <c r="A300" s="104"/>
      <c r="B300" s="107"/>
    </row>
    <row r="301">
      <c r="A301" s="104"/>
      <c r="B301" s="107"/>
    </row>
    <row r="302">
      <c r="A302" s="104"/>
      <c r="B302" s="107"/>
    </row>
    <row r="303">
      <c r="A303" s="104"/>
      <c r="B303" s="107"/>
    </row>
    <row r="304">
      <c r="A304" s="104"/>
      <c r="B304" s="107"/>
    </row>
    <row r="305">
      <c r="A305" s="104"/>
      <c r="B305" s="107"/>
    </row>
    <row r="306">
      <c r="A306" s="104"/>
      <c r="B306" s="107"/>
    </row>
    <row r="307">
      <c r="A307" s="104"/>
      <c r="B307" s="107"/>
    </row>
    <row r="308">
      <c r="A308" s="104"/>
      <c r="B308" s="107"/>
    </row>
    <row r="309">
      <c r="A309" s="104"/>
      <c r="B309" s="107"/>
    </row>
    <row r="310">
      <c r="A310" s="104"/>
      <c r="B310" s="107"/>
    </row>
    <row r="311">
      <c r="A311" s="104"/>
      <c r="B311" s="107"/>
    </row>
    <row r="312">
      <c r="A312" s="104"/>
      <c r="B312" s="107"/>
    </row>
    <row r="313">
      <c r="A313" s="104"/>
      <c r="B313" s="107"/>
    </row>
    <row r="314">
      <c r="A314" s="104"/>
      <c r="B314" s="107"/>
    </row>
    <row r="315">
      <c r="A315" s="104"/>
      <c r="B315" s="107"/>
    </row>
    <row r="316">
      <c r="A316" s="104"/>
      <c r="B316" s="107"/>
    </row>
    <row r="317">
      <c r="A317" s="104"/>
      <c r="B317" s="107"/>
    </row>
    <row r="318">
      <c r="A318" s="104"/>
      <c r="B318" s="107"/>
    </row>
    <row r="319">
      <c r="A319" s="104"/>
      <c r="B319" s="107"/>
    </row>
    <row r="320">
      <c r="A320" s="104"/>
      <c r="B320" s="107"/>
    </row>
    <row r="321">
      <c r="A321" s="104"/>
      <c r="B321" s="107"/>
    </row>
    <row r="322">
      <c r="A322" s="104"/>
      <c r="B322" s="107"/>
    </row>
    <row r="323">
      <c r="A323" s="104"/>
      <c r="B323" s="107"/>
    </row>
    <row r="324">
      <c r="A324" s="104"/>
      <c r="B324" s="107"/>
    </row>
    <row r="325">
      <c r="A325" s="104"/>
      <c r="B325" s="107"/>
    </row>
    <row r="326">
      <c r="A326" s="104"/>
      <c r="B326" s="107"/>
    </row>
    <row r="327">
      <c r="A327" s="104"/>
      <c r="B327" s="107"/>
    </row>
    <row r="328">
      <c r="A328" s="104"/>
      <c r="B328" s="107"/>
    </row>
    <row r="329">
      <c r="A329" s="104"/>
      <c r="B329" s="107"/>
    </row>
    <row r="330">
      <c r="A330" s="104"/>
      <c r="B330" s="107"/>
    </row>
    <row r="331">
      <c r="A331" s="104"/>
      <c r="B331" s="107"/>
    </row>
    <row r="332">
      <c r="A332" s="104"/>
      <c r="B332" s="107"/>
    </row>
    <row r="333">
      <c r="A333" s="104"/>
      <c r="B333" s="107"/>
    </row>
    <row r="334">
      <c r="A334" s="104"/>
      <c r="B334" s="107"/>
    </row>
    <row r="335">
      <c r="A335" s="104"/>
      <c r="B335" s="107"/>
    </row>
    <row r="336">
      <c r="A336" s="104"/>
      <c r="B336" s="107"/>
    </row>
    <row r="337">
      <c r="A337" s="104"/>
      <c r="B337" s="107"/>
    </row>
    <row r="338">
      <c r="A338" s="104"/>
      <c r="B338" s="107"/>
    </row>
    <row r="339">
      <c r="A339" s="104"/>
      <c r="B339" s="107"/>
    </row>
    <row r="340">
      <c r="A340" s="104"/>
      <c r="B340" s="107"/>
    </row>
    <row r="341">
      <c r="A341" s="104"/>
      <c r="B341" s="107"/>
    </row>
    <row r="342">
      <c r="A342" s="104"/>
      <c r="B342" s="107"/>
    </row>
    <row r="343">
      <c r="A343" s="104"/>
      <c r="B343" s="107"/>
    </row>
    <row r="344">
      <c r="A344" s="104"/>
      <c r="B344" s="107"/>
    </row>
    <row r="345">
      <c r="A345" s="104"/>
      <c r="B345" s="107"/>
    </row>
    <row r="346">
      <c r="A346" s="104"/>
      <c r="B346" s="107"/>
    </row>
    <row r="347">
      <c r="A347" s="104"/>
      <c r="B347" s="107"/>
    </row>
    <row r="348">
      <c r="A348" s="104"/>
      <c r="B348" s="107"/>
    </row>
    <row r="349">
      <c r="A349" s="104"/>
      <c r="B349" s="107"/>
    </row>
    <row r="350">
      <c r="A350" s="104"/>
      <c r="B350" s="107"/>
    </row>
    <row r="351">
      <c r="A351" s="104"/>
      <c r="B351" s="107"/>
    </row>
    <row r="352">
      <c r="A352" s="104"/>
      <c r="B352" s="107"/>
    </row>
    <row r="353">
      <c r="A353" s="104"/>
      <c r="B353" s="107"/>
    </row>
    <row r="354">
      <c r="A354" s="104"/>
      <c r="B354" s="107"/>
    </row>
    <row r="355">
      <c r="A355" s="104"/>
      <c r="B355" s="107"/>
    </row>
    <row r="356">
      <c r="A356" s="104"/>
      <c r="B356" s="107"/>
    </row>
    <row r="357">
      <c r="A357" s="104"/>
      <c r="B357" s="107"/>
    </row>
    <row r="358">
      <c r="A358" s="104"/>
      <c r="B358" s="107"/>
    </row>
    <row r="359">
      <c r="A359" s="104"/>
      <c r="B359" s="107"/>
    </row>
    <row r="360">
      <c r="A360" s="104"/>
      <c r="B360" s="107"/>
    </row>
    <row r="361">
      <c r="A361" s="104"/>
      <c r="B361" s="107"/>
    </row>
    <row r="362">
      <c r="A362" s="104"/>
      <c r="B362" s="107"/>
    </row>
    <row r="363">
      <c r="A363" s="104"/>
      <c r="B363" s="107"/>
    </row>
    <row r="364">
      <c r="A364" s="104"/>
      <c r="B364" s="107"/>
    </row>
    <row r="365">
      <c r="A365" s="104"/>
      <c r="B365" s="107"/>
    </row>
    <row r="366">
      <c r="A366" s="104"/>
      <c r="B366" s="107"/>
    </row>
    <row r="367">
      <c r="A367" s="104"/>
      <c r="B367" s="107"/>
    </row>
    <row r="368">
      <c r="A368" s="104"/>
      <c r="B368" s="107"/>
    </row>
    <row r="369">
      <c r="A369" s="104"/>
      <c r="B369" s="107"/>
    </row>
    <row r="370">
      <c r="A370" s="104"/>
      <c r="B370" s="107"/>
    </row>
    <row r="371">
      <c r="A371" s="104"/>
      <c r="B371" s="107"/>
    </row>
    <row r="372">
      <c r="A372" s="104"/>
      <c r="B372" s="107"/>
    </row>
    <row r="373">
      <c r="A373" s="104"/>
      <c r="B373" s="107"/>
    </row>
    <row r="374">
      <c r="A374" s="104"/>
      <c r="B374" s="107"/>
    </row>
    <row r="375">
      <c r="A375" s="104"/>
      <c r="B375" s="107"/>
    </row>
    <row r="376">
      <c r="A376" s="104"/>
      <c r="B376" s="107"/>
    </row>
    <row r="377">
      <c r="A377" s="104"/>
      <c r="B377" s="107"/>
    </row>
    <row r="378">
      <c r="A378" s="104"/>
      <c r="B378" s="107"/>
    </row>
    <row r="379">
      <c r="A379" s="104"/>
      <c r="B379" s="107"/>
    </row>
    <row r="380">
      <c r="A380" s="104"/>
      <c r="B380" s="107"/>
    </row>
    <row r="381">
      <c r="A381" s="104"/>
      <c r="B381" s="107"/>
    </row>
    <row r="382">
      <c r="A382" s="104"/>
      <c r="B382" s="107"/>
    </row>
    <row r="383">
      <c r="A383" s="104"/>
      <c r="B383" s="107"/>
    </row>
    <row r="384">
      <c r="A384" s="104"/>
      <c r="B384" s="107"/>
    </row>
    <row r="385">
      <c r="A385" s="104"/>
      <c r="B385" s="107"/>
    </row>
    <row r="386">
      <c r="A386" s="104"/>
      <c r="B386" s="107"/>
    </row>
    <row r="387">
      <c r="A387" s="104"/>
      <c r="B387" s="107"/>
    </row>
    <row r="388">
      <c r="A388" s="104"/>
      <c r="B388" s="107"/>
    </row>
    <row r="389">
      <c r="A389" s="104"/>
      <c r="B389" s="107"/>
    </row>
    <row r="390">
      <c r="A390" s="104"/>
      <c r="B390" s="107"/>
    </row>
    <row r="391">
      <c r="A391" s="104"/>
      <c r="B391" s="107"/>
    </row>
    <row r="392">
      <c r="A392" s="104"/>
      <c r="B392" s="107"/>
    </row>
    <row r="393">
      <c r="A393" s="104"/>
      <c r="B393" s="107"/>
    </row>
    <row r="394">
      <c r="A394" s="104"/>
      <c r="B394" s="107"/>
    </row>
    <row r="395">
      <c r="A395" s="104"/>
      <c r="B395" s="107"/>
    </row>
    <row r="396">
      <c r="A396" s="104"/>
      <c r="B396" s="107"/>
    </row>
    <row r="397">
      <c r="A397" s="104"/>
      <c r="B397" s="107"/>
    </row>
    <row r="398">
      <c r="A398" s="104"/>
      <c r="B398" s="107"/>
    </row>
    <row r="399">
      <c r="A399" s="104"/>
      <c r="B399" s="107"/>
    </row>
    <row r="400">
      <c r="A400" s="104"/>
      <c r="B400" s="107"/>
    </row>
    <row r="401">
      <c r="A401" s="104"/>
      <c r="B401" s="107"/>
    </row>
    <row r="402">
      <c r="A402" s="104"/>
      <c r="B402" s="107"/>
    </row>
    <row r="403">
      <c r="A403" s="104"/>
      <c r="B403" s="107"/>
    </row>
    <row r="404">
      <c r="A404" s="104"/>
      <c r="B404" s="107"/>
    </row>
    <row r="405">
      <c r="A405" s="104"/>
      <c r="B405" s="107"/>
    </row>
    <row r="406">
      <c r="A406" s="104"/>
      <c r="B406" s="107"/>
    </row>
    <row r="407">
      <c r="A407" s="104"/>
      <c r="B407" s="107"/>
    </row>
    <row r="408">
      <c r="A408" s="104"/>
      <c r="B408" s="107"/>
    </row>
    <row r="409">
      <c r="A409" s="104"/>
      <c r="B409" s="107"/>
    </row>
    <row r="410">
      <c r="A410" s="104"/>
      <c r="B410" s="107"/>
    </row>
    <row r="411">
      <c r="A411" s="104"/>
      <c r="B411" s="107"/>
    </row>
    <row r="412">
      <c r="A412" s="104"/>
      <c r="B412" s="107"/>
    </row>
    <row r="413">
      <c r="A413" s="104"/>
      <c r="B413" s="107"/>
    </row>
    <row r="414">
      <c r="A414" s="104"/>
      <c r="B414" s="107"/>
    </row>
    <row r="415">
      <c r="A415" s="104"/>
      <c r="B415" s="107"/>
    </row>
    <row r="416">
      <c r="A416" s="104"/>
      <c r="B416" s="107"/>
    </row>
    <row r="417">
      <c r="A417" s="104"/>
      <c r="B417" s="107"/>
    </row>
    <row r="418">
      <c r="A418" s="104"/>
      <c r="B418" s="107"/>
    </row>
    <row r="419">
      <c r="A419" s="104"/>
      <c r="B419" s="107"/>
    </row>
    <row r="420">
      <c r="A420" s="104"/>
      <c r="B420" s="107"/>
    </row>
    <row r="421">
      <c r="A421" s="104"/>
      <c r="B421" s="107"/>
    </row>
    <row r="422">
      <c r="A422" s="104"/>
      <c r="B422" s="107"/>
    </row>
    <row r="423">
      <c r="A423" s="104"/>
      <c r="B423" s="107"/>
    </row>
    <row r="424">
      <c r="A424" s="104"/>
      <c r="B424" s="107"/>
    </row>
    <row r="425">
      <c r="A425" s="104"/>
      <c r="B425" s="107"/>
    </row>
    <row r="426">
      <c r="A426" s="104"/>
      <c r="B426" s="107"/>
    </row>
    <row r="427">
      <c r="A427" s="104"/>
      <c r="B427" s="107"/>
    </row>
    <row r="428">
      <c r="A428" s="104"/>
      <c r="B428" s="107"/>
    </row>
    <row r="429">
      <c r="A429" s="104"/>
      <c r="B429" s="107"/>
    </row>
    <row r="430">
      <c r="A430" s="104"/>
      <c r="B430" s="107"/>
    </row>
    <row r="431">
      <c r="A431" s="104"/>
      <c r="B431" s="107"/>
    </row>
    <row r="432">
      <c r="A432" s="104"/>
      <c r="B432" s="107"/>
    </row>
    <row r="433">
      <c r="A433" s="104"/>
      <c r="B433" s="107"/>
    </row>
    <row r="434">
      <c r="A434" s="104"/>
      <c r="B434" s="107"/>
    </row>
    <row r="435">
      <c r="A435" s="104"/>
      <c r="B435" s="107"/>
    </row>
    <row r="436">
      <c r="A436" s="104"/>
      <c r="B436" s="107"/>
    </row>
    <row r="437">
      <c r="A437" s="104"/>
      <c r="B437" s="107"/>
    </row>
    <row r="438">
      <c r="A438" s="104"/>
      <c r="B438" s="107"/>
    </row>
    <row r="439">
      <c r="A439" s="104"/>
      <c r="B439" s="107"/>
    </row>
    <row r="440">
      <c r="A440" s="104"/>
      <c r="B440" s="107"/>
    </row>
    <row r="441">
      <c r="A441" s="104"/>
      <c r="B441" s="107"/>
    </row>
    <row r="442">
      <c r="A442" s="104"/>
      <c r="B442" s="107"/>
    </row>
    <row r="443">
      <c r="A443" s="104"/>
      <c r="B443" s="107"/>
    </row>
    <row r="444">
      <c r="A444" s="104"/>
      <c r="B444" s="107"/>
    </row>
    <row r="445">
      <c r="A445" s="104"/>
      <c r="B445" s="107"/>
    </row>
    <row r="446">
      <c r="A446" s="104"/>
      <c r="B446" s="107"/>
    </row>
    <row r="447">
      <c r="A447" s="104"/>
      <c r="B447" s="107"/>
    </row>
    <row r="448">
      <c r="A448" s="104"/>
      <c r="B448" s="107"/>
    </row>
    <row r="449">
      <c r="A449" s="104"/>
      <c r="B449" s="107"/>
    </row>
    <row r="450">
      <c r="A450" s="104"/>
      <c r="B450" s="107"/>
    </row>
    <row r="451">
      <c r="A451" s="104"/>
      <c r="B451" s="107"/>
    </row>
    <row r="452">
      <c r="A452" s="104"/>
      <c r="B452" s="107"/>
    </row>
    <row r="453">
      <c r="A453" s="104"/>
      <c r="B453" s="107"/>
    </row>
    <row r="454">
      <c r="A454" s="104"/>
      <c r="B454" s="107"/>
    </row>
    <row r="455">
      <c r="A455" s="104"/>
      <c r="B455" s="107"/>
    </row>
    <row r="456">
      <c r="A456" s="104"/>
      <c r="B456" s="107"/>
    </row>
    <row r="457">
      <c r="A457" s="104"/>
      <c r="B457" s="107"/>
    </row>
    <row r="458">
      <c r="A458" s="104"/>
      <c r="B458" s="107"/>
    </row>
    <row r="459">
      <c r="A459" s="104"/>
      <c r="B459" s="107"/>
    </row>
    <row r="460">
      <c r="A460" s="104"/>
      <c r="B460" s="107"/>
    </row>
    <row r="461">
      <c r="A461" s="104"/>
      <c r="B461" s="107"/>
    </row>
    <row r="462">
      <c r="A462" s="104"/>
      <c r="B462" s="107"/>
    </row>
    <row r="463">
      <c r="A463" s="104"/>
      <c r="B463" s="107"/>
    </row>
    <row r="464">
      <c r="A464" s="104"/>
      <c r="B464" s="107"/>
    </row>
    <row r="465">
      <c r="A465" s="104"/>
      <c r="B465" s="107"/>
    </row>
    <row r="466">
      <c r="A466" s="104"/>
      <c r="B466" s="107"/>
    </row>
    <row r="467">
      <c r="A467" s="104"/>
      <c r="B467" s="107"/>
    </row>
    <row r="468">
      <c r="A468" s="104"/>
      <c r="B468" s="107"/>
    </row>
    <row r="469">
      <c r="A469" s="104"/>
      <c r="B469" s="107"/>
    </row>
    <row r="470">
      <c r="A470" s="104"/>
      <c r="B470" s="107"/>
    </row>
    <row r="471">
      <c r="A471" s="104"/>
      <c r="B471" s="107"/>
    </row>
    <row r="472">
      <c r="A472" s="104"/>
      <c r="B472" s="107"/>
    </row>
    <row r="473">
      <c r="A473" s="104"/>
      <c r="B473" s="107"/>
    </row>
    <row r="474">
      <c r="A474" s="104"/>
      <c r="B474" s="107"/>
    </row>
    <row r="475">
      <c r="A475" s="104"/>
      <c r="B475" s="107"/>
    </row>
    <row r="476">
      <c r="A476" s="104"/>
      <c r="B476" s="107"/>
    </row>
    <row r="477">
      <c r="A477" s="104"/>
      <c r="B477" s="107"/>
    </row>
    <row r="478">
      <c r="A478" s="104"/>
      <c r="B478" s="107"/>
    </row>
    <row r="479">
      <c r="A479" s="104"/>
      <c r="B479" s="107"/>
    </row>
    <row r="480">
      <c r="A480" s="104"/>
      <c r="B480" s="107"/>
    </row>
    <row r="481">
      <c r="A481" s="104"/>
      <c r="B481" s="107"/>
    </row>
    <row r="482">
      <c r="A482" s="104"/>
      <c r="B482" s="107"/>
    </row>
    <row r="483">
      <c r="A483" s="104"/>
      <c r="B483" s="107"/>
    </row>
    <row r="484">
      <c r="A484" s="104"/>
      <c r="B484" s="107"/>
    </row>
    <row r="485">
      <c r="A485" s="104"/>
      <c r="B485" s="107"/>
    </row>
    <row r="486">
      <c r="A486" s="104"/>
      <c r="B486" s="107"/>
    </row>
    <row r="487">
      <c r="A487" s="104"/>
      <c r="B487" s="107"/>
    </row>
    <row r="488">
      <c r="A488" s="104"/>
      <c r="B488" s="107"/>
    </row>
    <row r="489">
      <c r="A489" s="104"/>
      <c r="B489" s="107"/>
    </row>
    <row r="490">
      <c r="A490" s="104"/>
      <c r="B490" s="107"/>
    </row>
    <row r="491">
      <c r="A491" s="104"/>
      <c r="B491" s="107"/>
    </row>
    <row r="492">
      <c r="A492" s="104"/>
      <c r="B492" s="107"/>
    </row>
    <row r="493">
      <c r="A493" s="104"/>
      <c r="B493" s="107"/>
    </row>
    <row r="494">
      <c r="A494" s="104"/>
      <c r="B494" s="107"/>
    </row>
    <row r="495">
      <c r="A495" s="104"/>
      <c r="B495" s="107"/>
    </row>
    <row r="496">
      <c r="A496" s="104"/>
      <c r="B496" s="107"/>
    </row>
    <row r="497">
      <c r="A497" s="104"/>
      <c r="B497" s="107"/>
    </row>
    <row r="498">
      <c r="A498" s="104"/>
      <c r="B498" s="107"/>
    </row>
    <row r="499">
      <c r="A499" s="104"/>
      <c r="B499" s="107"/>
    </row>
    <row r="500">
      <c r="A500" s="104"/>
      <c r="B500" s="107"/>
    </row>
    <row r="501">
      <c r="A501" s="104"/>
      <c r="B501" s="107"/>
    </row>
    <row r="502">
      <c r="A502" s="104"/>
      <c r="B502" s="107"/>
    </row>
    <row r="503">
      <c r="A503" s="104"/>
      <c r="B503" s="107"/>
    </row>
    <row r="504">
      <c r="A504" s="104"/>
      <c r="B504" s="107"/>
    </row>
    <row r="505">
      <c r="A505" s="104"/>
      <c r="B505" s="107"/>
    </row>
    <row r="506">
      <c r="A506" s="104"/>
      <c r="B506" s="107"/>
    </row>
    <row r="507">
      <c r="A507" s="104"/>
      <c r="B507" s="107"/>
    </row>
    <row r="508">
      <c r="A508" s="104"/>
      <c r="B508" s="107"/>
    </row>
    <row r="509">
      <c r="A509" s="104"/>
      <c r="B509" s="107"/>
    </row>
    <row r="510">
      <c r="A510" s="104"/>
      <c r="B510" s="107"/>
    </row>
    <row r="511">
      <c r="A511" s="104"/>
      <c r="B511" s="107"/>
    </row>
    <row r="512">
      <c r="A512" s="104"/>
      <c r="B512" s="107"/>
    </row>
    <row r="513">
      <c r="A513" s="104"/>
      <c r="B513" s="107"/>
    </row>
    <row r="514">
      <c r="A514" s="104"/>
      <c r="B514" s="107"/>
    </row>
    <row r="515">
      <c r="A515" s="104"/>
      <c r="B515" s="107"/>
    </row>
    <row r="516">
      <c r="A516" s="104"/>
      <c r="B516" s="107"/>
    </row>
    <row r="517">
      <c r="A517" s="104"/>
      <c r="B517" s="107"/>
    </row>
    <row r="518">
      <c r="A518" s="104"/>
      <c r="B518" s="107"/>
    </row>
    <row r="519">
      <c r="A519" s="104"/>
      <c r="B519" s="107"/>
    </row>
    <row r="520">
      <c r="A520" s="104"/>
      <c r="B520" s="107"/>
    </row>
    <row r="521">
      <c r="A521" s="104"/>
      <c r="B521" s="107"/>
    </row>
    <row r="522">
      <c r="A522" s="104"/>
      <c r="B522" s="107"/>
    </row>
    <row r="523">
      <c r="A523" s="104"/>
      <c r="B523" s="107"/>
    </row>
    <row r="524">
      <c r="A524" s="104"/>
      <c r="B524" s="107"/>
    </row>
    <row r="525">
      <c r="A525" s="104"/>
      <c r="B525" s="107"/>
    </row>
    <row r="526">
      <c r="A526" s="104"/>
      <c r="B526" s="107"/>
    </row>
    <row r="527">
      <c r="A527" s="104"/>
      <c r="B527" s="107"/>
    </row>
    <row r="528">
      <c r="A528" s="104"/>
      <c r="B528" s="107"/>
    </row>
    <row r="529">
      <c r="A529" s="104"/>
      <c r="B529" s="107"/>
    </row>
    <row r="530">
      <c r="A530" s="104"/>
      <c r="B530" s="107"/>
    </row>
    <row r="531">
      <c r="A531" s="104"/>
      <c r="B531" s="107"/>
    </row>
    <row r="532">
      <c r="A532" s="104"/>
      <c r="B532" s="107"/>
    </row>
    <row r="533">
      <c r="A533" s="104"/>
      <c r="B533" s="107"/>
    </row>
    <row r="534">
      <c r="A534" s="104"/>
      <c r="B534" s="107"/>
    </row>
    <row r="535">
      <c r="A535" s="104"/>
      <c r="B535" s="107"/>
    </row>
    <row r="536">
      <c r="A536" s="104"/>
      <c r="B536" s="107"/>
    </row>
    <row r="537">
      <c r="A537" s="104"/>
      <c r="B537" s="107"/>
    </row>
    <row r="538">
      <c r="A538" s="104"/>
      <c r="B538" s="107"/>
    </row>
    <row r="539">
      <c r="A539" s="104"/>
      <c r="B539" s="107"/>
    </row>
    <row r="540">
      <c r="A540" s="104"/>
      <c r="B540" s="107"/>
    </row>
    <row r="541">
      <c r="A541" s="104"/>
      <c r="B541" s="107"/>
    </row>
    <row r="542">
      <c r="A542" s="104"/>
      <c r="B542" s="107"/>
    </row>
    <row r="543">
      <c r="A543" s="104"/>
      <c r="B543" s="107"/>
    </row>
    <row r="544">
      <c r="A544" s="104"/>
      <c r="B544" s="107"/>
    </row>
    <row r="545">
      <c r="A545" s="104"/>
      <c r="B545" s="107"/>
    </row>
    <row r="546">
      <c r="A546" s="104"/>
      <c r="B546" s="107"/>
    </row>
    <row r="547">
      <c r="A547" s="104"/>
      <c r="B547" s="107"/>
    </row>
    <row r="548">
      <c r="A548" s="104"/>
      <c r="B548" s="107"/>
    </row>
    <row r="549">
      <c r="A549" s="104"/>
      <c r="B549" s="107"/>
    </row>
    <row r="550">
      <c r="A550" s="104"/>
      <c r="B550" s="107"/>
    </row>
    <row r="551">
      <c r="A551" s="104"/>
      <c r="B551" s="107"/>
    </row>
    <row r="552">
      <c r="A552" s="104"/>
      <c r="B552" s="107"/>
    </row>
    <row r="553">
      <c r="A553" s="104"/>
      <c r="B553" s="107"/>
    </row>
    <row r="554">
      <c r="A554" s="104"/>
      <c r="B554" s="107"/>
    </row>
    <row r="555">
      <c r="A555" s="104"/>
      <c r="B555" s="107"/>
    </row>
    <row r="556">
      <c r="A556" s="104"/>
      <c r="B556" s="107"/>
    </row>
    <row r="557">
      <c r="A557" s="104"/>
      <c r="B557" s="107"/>
    </row>
    <row r="558">
      <c r="A558" s="104"/>
      <c r="B558" s="107"/>
    </row>
    <row r="559">
      <c r="A559" s="104"/>
      <c r="B559" s="107"/>
    </row>
    <row r="560">
      <c r="A560" s="104"/>
      <c r="B560" s="107"/>
    </row>
    <row r="561">
      <c r="A561" s="104"/>
      <c r="B561" s="107"/>
    </row>
    <row r="562">
      <c r="A562" s="104"/>
      <c r="B562" s="107"/>
    </row>
    <row r="563">
      <c r="A563" s="104"/>
      <c r="B563" s="107"/>
    </row>
    <row r="564">
      <c r="A564" s="104"/>
      <c r="B564" s="107"/>
    </row>
    <row r="565">
      <c r="A565" s="104"/>
      <c r="B565" s="107"/>
    </row>
    <row r="566">
      <c r="A566" s="104"/>
      <c r="B566" s="107"/>
    </row>
    <row r="567">
      <c r="A567" s="104"/>
      <c r="B567" s="107"/>
    </row>
    <row r="568">
      <c r="A568" s="104"/>
      <c r="B568" s="107"/>
    </row>
    <row r="569">
      <c r="A569" s="104"/>
      <c r="B569" s="107"/>
    </row>
    <row r="570">
      <c r="A570" s="104"/>
      <c r="B570" s="107"/>
    </row>
    <row r="571">
      <c r="A571" s="104"/>
      <c r="B571" s="107"/>
    </row>
    <row r="572">
      <c r="A572" s="104"/>
      <c r="B572" s="107"/>
    </row>
    <row r="573">
      <c r="A573" s="104"/>
      <c r="B573" s="107"/>
    </row>
    <row r="574">
      <c r="A574" s="104"/>
      <c r="B574" s="107"/>
    </row>
    <row r="575">
      <c r="A575" s="104"/>
      <c r="B575" s="107"/>
    </row>
    <row r="576">
      <c r="A576" s="104"/>
      <c r="B576" s="107"/>
    </row>
    <row r="577">
      <c r="A577" s="104"/>
      <c r="B577" s="107"/>
    </row>
    <row r="578">
      <c r="A578" s="104"/>
      <c r="B578" s="107"/>
    </row>
    <row r="579">
      <c r="A579" s="104"/>
      <c r="B579" s="107"/>
    </row>
    <row r="580">
      <c r="A580" s="104"/>
      <c r="B580" s="107"/>
    </row>
    <row r="581">
      <c r="A581" s="104"/>
      <c r="B581" s="107"/>
    </row>
    <row r="582">
      <c r="A582" s="104"/>
      <c r="B582" s="107"/>
    </row>
    <row r="583">
      <c r="A583" s="104"/>
      <c r="B583" s="107"/>
    </row>
    <row r="584">
      <c r="A584" s="104"/>
      <c r="B584" s="107"/>
    </row>
    <row r="585">
      <c r="A585" s="104"/>
      <c r="B585" s="107"/>
    </row>
    <row r="586">
      <c r="A586" s="104"/>
      <c r="B586" s="107"/>
    </row>
    <row r="587">
      <c r="A587" s="104"/>
      <c r="B587" s="107"/>
    </row>
    <row r="588">
      <c r="A588" s="104"/>
      <c r="B588" s="107"/>
    </row>
    <row r="589">
      <c r="A589" s="104"/>
      <c r="B589" s="107"/>
    </row>
    <row r="590">
      <c r="A590" s="104"/>
      <c r="B590" s="107"/>
    </row>
    <row r="591">
      <c r="A591" s="104"/>
      <c r="B591" s="107"/>
    </row>
    <row r="592">
      <c r="A592" s="104"/>
      <c r="B592" s="107"/>
    </row>
    <row r="593">
      <c r="A593" s="104"/>
      <c r="B593" s="107"/>
    </row>
    <row r="594">
      <c r="A594" s="104"/>
      <c r="B594" s="107"/>
    </row>
    <row r="595">
      <c r="A595" s="104"/>
      <c r="B595" s="107"/>
    </row>
    <row r="596">
      <c r="A596" s="104"/>
      <c r="B596" s="107"/>
    </row>
    <row r="597">
      <c r="A597" s="104"/>
      <c r="B597" s="107"/>
    </row>
    <row r="598">
      <c r="A598" s="104"/>
      <c r="B598" s="107"/>
    </row>
    <row r="599">
      <c r="A599" s="104"/>
      <c r="B599" s="107"/>
    </row>
    <row r="600">
      <c r="A600" s="104"/>
      <c r="B600" s="107"/>
    </row>
    <row r="601">
      <c r="A601" s="104"/>
      <c r="B601" s="107"/>
    </row>
    <row r="602">
      <c r="A602" s="104"/>
      <c r="B602" s="107"/>
    </row>
    <row r="603">
      <c r="A603" s="104"/>
      <c r="B603" s="107"/>
    </row>
    <row r="604">
      <c r="A604" s="104"/>
      <c r="B604" s="107"/>
    </row>
    <row r="605">
      <c r="A605" s="104"/>
      <c r="B605" s="107"/>
    </row>
    <row r="606">
      <c r="A606" s="104"/>
      <c r="B606" s="107"/>
    </row>
    <row r="607">
      <c r="A607" s="104"/>
      <c r="B607" s="107"/>
    </row>
    <row r="608">
      <c r="A608" s="104"/>
      <c r="B608" s="107"/>
    </row>
    <row r="609">
      <c r="A609" s="104"/>
      <c r="B609" s="107"/>
    </row>
    <row r="610">
      <c r="A610" s="104"/>
      <c r="B610" s="107"/>
    </row>
    <row r="611">
      <c r="A611" s="104"/>
      <c r="B611" s="107"/>
    </row>
    <row r="612">
      <c r="A612" s="104"/>
      <c r="B612" s="107"/>
    </row>
    <row r="613">
      <c r="A613" s="104"/>
      <c r="B613" s="107"/>
    </row>
    <row r="614">
      <c r="A614" s="104"/>
      <c r="B614" s="107"/>
    </row>
    <row r="615">
      <c r="A615" s="104"/>
      <c r="B615" s="107"/>
    </row>
    <row r="616">
      <c r="A616" s="104"/>
      <c r="B616" s="107"/>
    </row>
    <row r="617">
      <c r="A617" s="104"/>
      <c r="B617" s="107"/>
    </row>
    <row r="618">
      <c r="A618" s="104"/>
      <c r="B618" s="107"/>
    </row>
    <row r="619">
      <c r="A619" s="104"/>
      <c r="B619" s="107"/>
    </row>
    <row r="620">
      <c r="A620" s="104"/>
      <c r="B620" s="107"/>
    </row>
    <row r="621">
      <c r="A621" s="104"/>
      <c r="B621" s="107"/>
    </row>
    <row r="622">
      <c r="A622" s="104"/>
      <c r="B622" s="107"/>
    </row>
    <row r="623">
      <c r="A623" s="104"/>
      <c r="B623" s="107"/>
    </row>
    <row r="624">
      <c r="A624" s="104"/>
      <c r="B624" s="107"/>
    </row>
    <row r="625">
      <c r="A625" s="104"/>
      <c r="B625" s="107"/>
    </row>
    <row r="626">
      <c r="A626" s="104"/>
      <c r="B626" s="107"/>
    </row>
    <row r="627">
      <c r="A627" s="104"/>
      <c r="B627" s="107"/>
    </row>
    <row r="628">
      <c r="A628" s="104"/>
      <c r="B628" s="107"/>
    </row>
    <row r="629">
      <c r="A629" s="104"/>
      <c r="B629" s="107"/>
    </row>
    <row r="630">
      <c r="A630" s="104"/>
      <c r="B630" s="107"/>
    </row>
    <row r="631">
      <c r="A631" s="104"/>
      <c r="B631" s="107"/>
    </row>
    <row r="632">
      <c r="A632" s="104"/>
      <c r="B632" s="107"/>
    </row>
    <row r="633">
      <c r="A633" s="104"/>
      <c r="B633" s="107"/>
    </row>
    <row r="634">
      <c r="A634" s="104"/>
      <c r="B634" s="107"/>
    </row>
    <row r="635">
      <c r="A635" s="104"/>
      <c r="B635" s="107"/>
    </row>
    <row r="636">
      <c r="A636" s="104"/>
      <c r="B636" s="107"/>
    </row>
    <row r="637">
      <c r="A637" s="104"/>
      <c r="B637" s="107"/>
    </row>
    <row r="638">
      <c r="A638" s="104"/>
      <c r="B638" s="107"/>
    </row>
    <row r="639">
      <c r="A639" s="104"/>
      <c r="B639" s="107"/>
    </row>
    <row r="640">
      <c r="A640" s="104"/>
      <c r="B640" s="107"/>
    </row>
    <row r="641">
      <c r="A641" s="104"/>
      <c r="B641" s="107"/>
    </row>
    <row r="642">
      <c r="A642" s="104"/>
      <c r="B642" s="107"/>
    </row>
    <row r="643">
      <c r="A643" s="104"/>
      <c r="B643" s="107"/>
    </row>
    <row r="644">
      <c r="A644" s="104"/>
      <c r="B644" s="107"/>
    </row>
    <row r="645">
      <c r="A645" s="104"/>
      <c r="B645" s="107"/>
    </row>
    <row r="646">
      <c r="A646" s="104"/>
      <c r="B646" s="107"/>
    </row>
    <row r="647">
      <c r="A647" s="104"/>
      <c r="B647" s="107"/>
    </row>
    <row r="648">
      <c r="A648" s="104"/>
      <c r="B648" s="107"/>
    </row>
    <row r="649">
      <c r="A649" s="104"/>
      <c r="B649" s="107"/>
    </row>
    <row r="650">
      <c r="A650" s="104"/>
      <c r="B650" s="107"/>
    </row>
    <row r="651">
      <c r="A651" s="104"/>
      <c r="B651" s="107"/>
    </row>
    <row r="652">
      <c r="A652" s="104"/>
      <c r="B652" s="107"/>
    </row>
    <row r="653">
      <c r="A653" s="104"/>
      <c r="B653" s="107"/>
    </row>
    <row r="654">
      <c r="A654" s="104"/>
      <c r="B654" s="107"/>
    </row>
    <row r="655">
      <c r="A655" s="104"/>
      <c r="B655" s="107"/>
    </row>
    <row r="656">
      <c r="A656" s="104"/>
      <c r="B656" s="107"/>
    </row>
    <row r="657">
      <c r="A657" s="104"/>
      <c r="B657" s="107"/>
    </row>
    <row r="658">
      <c r="A658" s="104"/>
      <c r="B658" s="107"/>
    </row>
    <row r="659">
      <c r="A659" s="104"/>
      <c r="B659" s="107"/>
    </row>
    <row r="660">
      <c r="A660" s="104"/>
      <c r="B660" s="107"/>
    </row>
    <row r="661">
      <c r="A661" s="104"/>
      <c r="B661" s="107"/>
    </row>
    <row r="662">
      <c r="A662" s="104"/>
      <c r="B662" s="107"/>
    </row>
    <row r="663">
      <c r="A663" s="104"/>
      <c r="B663" s="107"/>
    </row>
    <row r="664">
      <c r="A664" s="104"/>
      <c r="B664" s="107"/>
    </row>
    <row r="665">
      <c r="A665" s="104"/>
      <c r="B665" s="107"/>
    </row>
    <row r="666">
      <c r="A666" s="104"/>
      <c r="B666" s="107"/>
    </row>
    <row r="667">
      <c r="A667" s="104"/>
      <c r="B667" s="107"/>
    </row>
    <row r="668">
      <c r="A668" s="104"/>
      <c r="B668" s="107"/>
    </row>
    <row r="669">
      <c r="A669" s="104"/>
      <c r="B669" s="107"/>
    </row>
    <row r="670">
      <c r="A670" s="104"/>
      <c r="B670" s="107"/>
    </row>
    <row r="671">
      <c r="A671" s="104"/>
      <c r="B671" s="107"/>
    </row>
    <row r="672">
      <c r="A672" s="104"/>
      <c r="B672" s="107"/>
    </row>
    <row r="673">
      <c r="A673" s="104"/>
      <c r="B673" s="107"/>
    </row>
    <row r="674">
      <c r="A674" s="104"/>
      <c r="B674" s="107"/>
    </row>
    <row r="675">
      <c r="A675" s="104"/>
      <c r="B675" s="107"/>
    </row>
    <row r="676">
      <c r="A676" s="104"/>
      <c r="B676" s="107"/>
    </row>
    <row r="677">
      <c r="A677" s="104"/>
      <c r="B677" s="107"/>
    </row>
    <row r="678">
      <c r="A678" s="104"/>
      <c r="B678" s="107"/>
    </row>
    <row r="679">
      <c r="A679" s="104"/>
      <c r="B679" s="107"/>
    </row>
    <row r="680">
      <c r="A680" s="104"/>
      <c r="B680" s="107"/>
    </row>
    <row r="681">
      <c r="A681" s="104"/>
      <c r="B681" s="107"/>
    </row>
    <row r="682">
      <c r="A682" s="104"/>
      <c r="B682" s="107"/>
    </row>
    <row r="683">
      <c r="A683" s="104"/>
      <c r="B683" s="107"/>
    </row>
    <row r="684">
      <c r="A684" s="104"/>
      <c r="B684" s="107"/>
    </row>
    <row r="685">
      <c r="A685" s="104"/>
      <c r="B685" s="107"/>
    </row>
    <row r="686">
      <c r="A686" s="104"/>
      <c r="B686" s="107"/>
    </row>
    <row r="687">
      <c r="A687" s="104"/>
      <c r="B687" s="107"/>
    </row>
    <row r="688">
      <c r="A688" s="104"/>
      <c r="B688" s="107"/>
    </row>
    <row r="689">
      <c r="A689" s="104"/>
      <c r="B689" s="107"/>
    </row>
    <row r="690">
      <c r="A690" s="104"/>
      <c r="B690" s="107"/>
    </row>
    <row r="691">
      <c r="A691" s="104"/>
      <c r="B691" s="107"/>
    </row>
    <row r="692">
      <c r="A692" s="104"/>
      <c r="B692" s="107"/>
    </row>
    <row r="693">
      <c r="A693" s="104"/>
      <c r="B693" s="107"/>
    </row>
    <row r="694">
      <c r="A694" s="104"/>
      <c r="B694" s="107"/>
    </row>
    <row r="695">
      <c r="A695" s="104"/>
      <c r="B695" s="107"/>
    </row>
    <row r="696">
      <c r="A696" s="104"/>
      <c r="B696" s="107"/>
    </row>
    <row r="697">
      <c r="A697" s="104"/>
      <c r="B697" s="107"/>
    </row>
    <row r="698">
      <c r="A698" s="104"/>
      <c r="B698" s="107"/>
    </row>
    <row r="699">
      <c r="A699" s="104"/>
      <c r="B699" s="107"/>
    </row>
    <row r="700">
      <c r="A700" s="104"/>
      <c r="B700" s="107"/>
    </row>
    <row r="701">
      <c r="A701" s="104"/>
      <c r="B701" s="107"/>
    </row>
    <row r="702">
      <c r="A702" s="104"/>
      <c r="B702" s="107"/>
    </row>
    <row r="703">
      <c r="A703" s="104"/>
      <c r="B703" s="107"/>
    </row>
    <row r="704">
      <c r="A704" s="104"/>
      <c r="B704" s="107"/>
    </row>
    <row r="705">
      <c r="A705" s="104"/>
      <c r="B705" s="107"/>
    </row>
    <row r="706">
      <c r="A706" s="104"/>
      <c r="B706" s="107"/>
    </row>
    <row r="707">
      <c r="A707" s="104"/>
      <c r="B707" s="107"/>
    </row>
    <row r="708">
      <c r="A708" s="104"/>
      <c r="B708" s="107"/>
    </row>
    <row r="709">
      <c r="A709" s="104"/>
      <c r="B709" s="107"/>
    </row>
    <row r="710">
      <c r="A710" s="104"/>
      <c r="B710" s="107"/>
    </row>
    <row r="711">
      <c r="A711" s="104"/>
      <c r="B711" s="107"/>
    </row>
    <row r="712">
      <c r="A712" s="104"/>
      <c r="B712" s="107"/>
    </row>
    <row r="713">
      <c r="A713" s="104"/>
      <c r="B713" s="107"/>
    </row>
    <row r="714">
      <c r="A714" s="104"/>
      <c r="B714" s="107"/>
    </row>
    <row r="715">
      <c r="A715" s="104"/>
      <c r="B715" s="107"/>
    </row>
    <row r="716">
      <c r="A716" s="104"/>
      <c r="B716" s="107"/>
    </row>
    <row r="717">
      <c r="A717" s="104"/>
      <c r="B717" s="107"/>
    </row>
    <row r="718">
      <c r="A718" s="104"/>
      <c r="B718" s="107"/>
    </row>
    <row r="719">
      <c r="A719" s="104"/>
      <c r="B719" s="107"/>
    </row>
    <row r="720">
      <c r="A720" s="104"/>
      <c r="B720" s="107"/>
    </row>
    <row r="721">
      <c r="A721" s="104"/>
      <c r="B721" s="107"/>
    </row>
    <row r="722">
      <c r="A722" s="104"/>
      <c r="B722" s="107"/>
    </row>
    <row r="723">
      <c r="A723" s="104"/>
      <c r="B723" s="107"/>
    </row>
    <row r="724">
      <c r="A724" s="104"/>
      <c r="B724" s="107"/>
    </row>
    <row r="725">
      <c r="A725" s="104"/>
      <c r="B725" s="107"/>
    </row>
    <row r="726">
      <c r="A726" s="104"/>
      <c r="B726" s="107"/>
    </row>
    <row r="727">
      <c r="A727" s="104"/>
      <c r="B727" s="107"/>
    </row>
    <row r="728">
      <c r="A728" s="104"/>
      <c r="B728" s="107"/>
    </row>
    <row r="729">
      <c r="A729" s="104"/>
      <c r="B729" s="107"/>
    </row>
    <row r="730">
      <c r="A730" s="104"/>
      <c r="B730" s="107"/>
    </row>
    <row r="731">
      <c r="A731" s="104"/>
      <c r="B731" s="107"/>
    </row>
    <row r="732">
      <c r="A732" s="104"/>
      <c r="B732" s="107"/>
    </row>
    <row r="733">
      <c r="A733" s="104"/>
      <c r="B733" s="107"/>
    </row>
    <row r="734">
      <c r="A734" s="104"/>
      <c r="B734" s="107"/>
    </row>
    <row r="735">
      <c r="A735" s="104"/>
      <c r="B735" s="107"/>
    </row>
    <row r="736">
      <c r="A736" s="104"/>
      <c r="B736" s="107"/>
    </row>
    <row r="737">
      <c r="A737" s="104"/>
      <c r="B737" s="107"/>
    </row>
    <row r="738">
      <c r="A738" s="104"/>
      <c r="B738" s="107"/>
    </row>
    <row r="739">
      <c r="A739" s="104"/>
      <c r="B739" s="107"/>
    </row>
    <row r="740">
      <c r="A740" s="104"/>
      <c r="B740" s="107"/>
    </row>
    <row r="741">
      <c r="A741" s="104"/>
      <c r="B741" s="107"/>
    </row>
    <row r="742">
      <c r="A742" s="104"/>
      <c r="B742" s="107"/>
    </row>
    <row r="743">
      <c r="A743" s="104"/>
      <c r="B743" s="107"/>
    </row>
    <row r="744">
      <c r="A744" s="104"/>
      <c r="B744" s="107"/>
    </row>
    <row r="745">
      <c r="A745" s="104"/>
      <c r="B745" s="107"/>
    </row>
    <row r="746">
      <c r="A746" s="104"/>
      <c r="B746" s="107"/>
    </row>
    <row r="747">
      <c r="A747" s="104"/>
      <c r="B747" s="107"/>
    </row>
    <row r="748">
      <c r="A748" s="104"/>
      <c r="B748" s="107"/>
    </row>
    <row r="749">
      <c r="A749" s="104"/>
      <c r="B749" s="107"/>
    </row>
    <row r="750">
      <c r="A750" s="104"/>
      <c r="B750" s="107"/>
    </row>
    <row r="751">
      <c r="A751" s="104"/>
      <c r="B751" s="107"/>
    </row>
    <row r="752">
      <c r="A752" s="104"/>
      <c r="B752" s="107"/>
    </row>
    <row r="753">
      <c r="A753" s="104"/>
      <c r="B753" s="107"/>
    </row>
    <row r="754">
      <c r="A754" s="104"/>
      <c r="B754" s="107"/>
    </row>
    <row r="755">
      <c r="A755" s="104"/>
      <c r="B755" s="107"/>
    </row>
    <row r="756">
      <c r="A756" s="104"/>
      <c r="B756" s="107"/>
    </row>
    <row r="757">
      <c r="A757" s="104"/>
      <c r="B757" s="107"/>
    </row>
    <row r="758">
      <c r="A758" s="104"/>
      <c r="B758" s="107"/>
    </row>
    <row r="759">
      <c r="A759" s="104"/>
      <c r="B759" s="107"/>
    </row>
    <row r="760">
      <c r="A760" s="104"/>
      <c r="B760" s="107"/>
    </row>
    <row r="761">
      <c r="A761" s="104"/>
      <c r="B761" s="107"/>
    </row>
    <row r="762">
      <c r="A762" s="104"/>
      <c r="B762" s="107"/>
    </row>
    <row r="763">
      <c r="A763" s="104"/>
      <c r="B763" s="107"/>
    </row>
    <row r="764">
      <c r="A764" s="104"/>
      <c r="B764" s="107"/>
    </row>
    <row r="765">
      <c r="A765" s="104"/>
      <c r="B765" s="107"/>
    </row>
    <row r="766">
      <c r="A766" s="104"/>
      <c r="B766" s="107"/>
    </row>
    <row r="767">
      <c r="A767" s="104"/>
      <c r="B767" s="107"/>
    </row>
    <row r="768">
      <c r="A768" s="104"/>
      <c r="B768" s="107"/>
    </row>
    <row r="769">
      <c r="A769" s="104"/>
      <c r="B769" s="107"/>
    </row>
    <row r="770">
      <c r="A770" s="104"/>
      <c r="B770" s="107"/>
    </row>
    <row r="771">
      <c r="A771" s="104"/>
      <c r="B771" s="107"/>
    </row>
    <row r="772">
      <c r="A772" s="104"/>
      <c r="B772" s="107"/>
    </row>
    <row r="773">
      <c r="A773" s="104"/>
      <c r="B773" s="107"/>
    </row>
    <row r="774">
      <c r="A774" s="104"/>
      <c r="B774" s="107"/>
    </row>
    <row r="775">
      <c r="A775" s="104"/>
      <c r="B775" s="107"/>
    </row>
    <row r="776">
      <c r="A776" s="104"/>
      <c r="B776" s="107"/>
    </row>
    <row r="777">
      <c r="A777" s="104"/>
      <c r="B777" s="107"/>
    </row>
    <row r="778">
      <c r="A778" s="104"/>
      <c r="B778" s="107"/>
    </row>
    <row r="779">
      <c r="A779" s="104"/>
      <c r="B779" s="107"/>
    </row>
    <row r="780">
      <c r="A780" s="104"/>
      <c r="B780" s="107"/>
    </row>
    <row r="781">
      <c r="A781" s="104"/>
      <c r="B781" s="107"/>
    </row>
    <row r="782">
      <c r="A782" s="104"/>
      <c r="B782" s="107"/>
    </row>
    <row r="783">
      <c r="A783" s="104"/>
      <c r="B783" s="107"/>
    </row>
    <row r="784">
      <c r="A784" s="104"/>
      <c r="B784" s="107"/>
    </row>
    <row r="785">
      <c r="A785" s="104"/>
      <c r="B785" s="107"/>
    </row>
    <row r="786">
      <c r="A786" s="104"/>
      <c r="B786" s="107"/>
    </row>
    <row r="787">
      <c r="A787" s="104"/>
      <c r="B787" s="107"/>
    </row>
    <row r="788">
      <c r="A788" s="104"/>
      <c r="B788" s="107"/>
    </row>
    <row r="789">
      <c r="A789" s="104"/>
      <c r="B789" s="107"/>
    </row>
    <row r="790">
      <c r="A790" s="104"/>
      <c r="B790" s="107"/>
    </row>
    <row r="791">
      <c r="A791" s="104"/>
      <c r="B791" s="107"/>
    </row>
    <row r="792">
      <c r="A792" s="104"/>
      <c r="B792" s="107"/>
    </row>
    <row r="793">
      <c r="A793" s="104"/>
      <c r="B793" s="107"/>
    </row>
    <row r="794">
      <c r="A794" s="104"/>
      <c r="B794" s="107"/>
    </row>
    <row r="795">
      <c r="A795" s="104"/>
      <c r="B795" s="107"/>
    </row>
    <row r="796">
      <c r="A796" s="104"/>
      <c r="B796" s="107"/>
    </row>
    <row r="797">
      <c r="A797" s="104"/>
      <c r="B797" s="107"/>
    </row>
    <row r="798">
      <c r="A798" s="104"/>
      <c r="B798" s="107"/>
    </row>
    <row r="799">
      <c r="A799" s="104"/>
      <c r="B799" s="107"/>
    </row>
    <row r="800">
      <c r="A800" s="104"/>
      <c r="B800" s="107"/>
    </row>
    <row r="801">
      <c r="A801" s="104"/>
      <c r="B801" s="107"/>
    </row>
    <row r="802">
      <c r="A802" s="104"/>
      <c r="B802" s="107"/>
    </row>
    <row r="803">
      <c r="A803" s="104"/>
      <c r="B803" s="107"/>
    </row>
    <row r="804">
      <c r="A804" s="104"/>
      <c r="B804" s="107"/>
    </row>
    <row r="805">
      <c r="A805" s="104"/>
      <c r="B805" s="107"/>
    </row>
    <row r="806">
      <c r="A806" s="104"/>
      <c r="B806" s="107"/>
    </row>
    <row r="807">
      <c r="A807" s="104"/>
      <c r="B807" s="107"/>
    </row>
    <row r="808">
      <c r="A808" s="104"/>
      <c r="B808" s="107"/>
    </row>
    <row r="809">
      <c r="A809" s="104"/>
      <c r="B809" s="107"/>
    </row>
    <row r="810">
      <c r="A810" s="104"/>
      <c r="B810" s="107"/>
    </row>
    <row r="811">
      <c r="A811" s="104"/>
      <c r="B811" s="107"/>
    </row>
    <row r="812">
      <c r="A812" s="104"/>
      <c r="B812" s="107"/>
    </row>
    <row r="813">
      <c r="A813" s="104"/>
      <c r="B813" s="107"/>
    </row>
    <row r="814">
      <c r="A814" s="104"/>
      <c r="B814" s="107"/>
    </row>
    <row r="815">
      <c r="A815" s="104"/>
      <c r="B815" s="107"/>
    </row>
    <row r="816">
      <c r="A816" s="104"/>
      <c r="B816" s="107"/>
    </row>
    <row r="817">
      <c r="A817" s="104"/>
      <c r="B817" s="107"/>
    </row>
    <row r="818">
      <c r="A818" s="104"/>
      <c r="B818" s="107"/>
    </row>
    <row r="819">
      <c r="A819" s="104"/>
      <c r="B819" s="107"/>
    </row>
    <row r="820">
      <c r="A820" s="104"/>
      <c r="B820" s="107"/>
    </row>
    <row r="821">
      <c r="A821" s="104"/>
      <c r="B821" s="107"/>
    </row>
    <row r="822">
      <c r="A822" s="104"/>
      <c r="B822" s="107"/>
    </row>
    <row r="823">
      <c r="A823" s="104"/>
      <c r="B823" s="107"/>
    </row>
    <row r="824">
      <c r="A824" s="104"/>
      <c r="B824" s="107"/>
    </row>
    <row r="825">
      <c r="A825" s="104"/>
      <c r="B825" s="107"/>
    </row>
    <row r="826">
      <c r="A826" s="104"/>
      <c r="B826" s="107"/>
    </row>
    <row r="827">
      <c r="A827" s="104"/>
      <c r="B827" s="107"/>
    </row>
    <row r="828">
      <c r="A828" s="104"/>
      <c r="B828" s="107"/>
    </row>
    <row r="829">
      <c r="A829" s="104"/>
      <c r="B829" s="107"/>
    </row>
    <row r="830">
      <c r="A830" s="104"/>
      <c r="B830" s="107"/>
    </row>
    <row r="831">
      <c r="A831" s="104"/>
      <c r="B831" s="107"/>
    </row>
    <row r="832">
      <c r="A832" s="104"/>
      <c r="B832" s="107"/>
    </row>
    <row r="833">
      <c r="A833" s="104"/>
      <c r="B833" s="107"/>
    </row>
    <row r="834">
      <c r="A834" s="104"/>
      <c r="B834" s="107"/>
    </row>
    <row r="835">
      <c r="A835" s="104"/>
      <c r="B835" s="107"/>
    </row>
    <row r="836">
      <c r="A836" s="104"/>
      <c r="B836" s="107"/>
    </row>
    <row r="837">
      <c r="A837" s="104"/>
      <c r="B837" s="107"/>
    </row>
    <row r="838">
      <c r="A838" s="104"/>
      <c r="B838" s="107"/>
    </row>
    <row r="839">
      <c r="A839" s="104"/>
      <c r="B839" s="107"/>
    </row>
    <row r="840">
      <c r="A840" s="104"/>
      <c r="B840" s="107"/>
    </row>
    <row r="841">
      <c r="A841" s="104"/>
      <c r="B841" s="107"/>
    </row>
    <row r="842">
      <c r="A842" s="104"/>
      <c r="B842" s="107"/>
    </row>
    <row r="843">
      <c r="A843" s="104"/>
      <c r="B843" s="107"/>
    </row>
    <row r="844">
      <c r="A844" s="104"/>
      <c r="B844" s="107"/>
    </row>
    <row r="845">
      <c r="A845" s="104"/>
      <c r="B845" s="107"/>
    </row>
    <row r="846">
      <c r="A846" s="104"/>
      <c r="B846" s="107"/>
    </row>
    <row r="847">
      <c r="A847" s="104"/>
      <c r="B847" s="107"/>
    </row>
    <row r="848">
      <c r="A848" s="104"/>
      <c r="B848" s="107"/>
    </row>
    <row r="849">
      <c r="A849" s="104"/>
      <c r="B849" s="107"/>
    </row>
    <row r="850">
      <c r="A850" s="104"/>
      <c r="B850" s="107"/>
    </row>
    <row r="851">
      <c r="A851" s="104"/>
      <c r="B851" s="107"/>
    </row>
    <row r="852">
      <c r="A852" s="104"/>
      <c r="B852" s="107"/>
    </row>
    <row r="853">
      <c r="A853" s="104"/>
      <c r="B853" s="107"/>
    </row>
    <row r="854">
      <c r="A854" s="104"/>
      <c r="B854" s="107"/>
    </row>
    <row r="855">
      <c r="A855" s="104"/>
      <c r="B855" s="107"/>
    </row>
    <row r="856">
      <c r="A856" s="104"/>
      <c r="B856" s="107"/>
    </row>
    <row r="857">
      <c r="A857" s="104"/>
      <c r="B857" s="107"/>
    </row>
    <row r="858">
      <c r="A858" s="104"/>
      <c r="B858" s="107"/>
    </row>
    <row r="859">
      <c r="A859" s="104"/>
      <c r="B859" s="107"/>
    </row>
    <row r="860">
      <c r="A860" s="104"/>
      <c r="B860" s="107"/>
    </row>
    <row r="861">
      <c r="A861" s="104"/>
      <c r="B861" s="107"/>
    </row>
    <row r="862">
      <c r="A862" s="104"/>
      <c r="B862" s="107"/>
    </row>
    <row r="863">
      <c r="A863" s="104"/>
      <c r="B863" s="107"/>
    </row>
    <row r="864">
      <c r="A864" s="104"/>
      <c r="B864" s="107"/>
    </row>
    <row r="865">
      <c r="A865" s="104"/>
      <c r="B865" s="107"/>
    </row>
    <row r="866">
      <c r="A866" s="104"/>
      <c r="B866" s="107"/>
    </row>
    <row r="867">
      <c r="A867" s="104"/>
      <c r="B867" s="107"/>
    </row>
    <row r="868">
      <c r="A868" s="104"/>
      <c r="B868" s="107"/>
    </row>
    <row r="869">
      <c r="A869" s="104"/>
      <c r="B869" s="107"/>
    </row>
    <row r="870">
      <c r="A870" s="104"/>
      <c r="B870" s="107"/>
    </row>
    <row r="871">
      <c r="A871" s="104"/>
      <c r="B871" s="107"/>
    </row>
    <row r="872">
      <c r="A872" s="104"/>
      <c r="B872" s="107"/>
    </row>
    <row r="873">
      <c r="A873" s="104"/>
      <c r="B873" s="107"/>
    </row>
    <row r="874">
      <c r="A874" s="104"/>
      <c r="B874" s="107"/>
    </row>
    <row r="875">
      <c r="A875" s="104"/>
      <c r="B875" s="107"/>
    </row>
    <row r="876">
      <c r="A876" s="104"/>
      <c r="B876" s="107"/>
    </row>
    <row r="877">
      <c r="A877" s="104"/>
      <c r="B877" s="107"/>
    </row>
    <row r="878">
      <c r="A878" s="104"/>
      <c r="B878" s="107"/>
    </row>
    <row r="879">
      <c r="A879" s="104"/>
      <c r="B879" s="107"/>
    </row>
    <row r="880">
      <c r="A880" s="104"/>
      <c r="B880" s="107"/>
    </row>
    <row r="881">
      <c r="A881" s="104"/>
      <c r="B881" s="107"/>
    </row>
    <row r="882">
      <c r="A882" s="104"/>
      <c r="B882" s="107"/>
    </row>
    <row r="883">
      <c r="A883" s="104"/>
      <c r="B883" s="107"/>
    </row>
    <row r="884">
      <c r="A884" s="104"/>
      <c r="B884" s="107"/>
    </row>
    <row r="885">
      <c r="A885" s="104"/>
      <c r="B885" s="107"/>
    </row>
    <row r="886">
      <c r="A886" s="104"/>
      <c r="B886" s="107"/>
    </row>
    <row r="887">
      <c r="A887" s="104"/>
      <c r="B887" s="107"/>
    </row>
    <row r="888">
      <c r="A888" s="104"/>
      <c r="B888" s="107"/>
    </row>
    <row r="889">
      <c r="A889" s="104"/>
      <c r="B889" s="107"/>
    </row>
    <row r="890">
      <c r="A890" s="104"/>
      <c r="B890" s="107"/>
    </row>
    <row r="891">
      <c r="A891" s="104"/>
      <c r="B891" s="107"/>
    </row>
    <row r="892">
      <c r="A892" s="104"/>
      <c r="B892" s="107"/>
    </row>
    <row r="893">
      <c r="A893" s="104"/>
      <c r="B893" s="107"/>
    </row>
    <row r="894">
      <c r="A894" s="104"/>
      <c r="B894" s="107"/>
    </row>
    <row r="895">
      <c r="A895" s="104"/>
      <c r="B895" s="107"/>
    </row>
    <row r="896">
      <c r="A896" s="104"/>
      <c r="B896" s="107"/>
    </row>
    <row r="897">
      <c r="A897" s="104"/>
      <c r="B897" s="107"/>
    </row>
    <row r="898">
      <c r="A898" s="104"/>
      <c r="B898" s="107"/>
    </row>
    <row r="899">
      <c r="A899" s="104"/>
      <c r="B899" s="107"/>
    </row>
    <row r="900">
      <c r="A900" s="104"/>
      <c r="B900" s="107"/>
    </row>
    <row r="901">
      <c r="A901" s="104"/>
      <c r="B901" s="107"/>
    </row>
    <row r="902">
      <c r="A902" s="104"/>
      <c r="B902" s="107"/>
    </row>
    <row r="903">
      <c r="A903" s="104"/>
      <c r="B903" s="107"/>
    </row>
    <row r="904">
      <c r="A904" s="104"/>
      <c r="B904" s="107"/>
    </row>
    <row r="905">
      <c r="A905" s="104"/>
      <c r="B905" s="107"/>
    </row>
    <row r="906">
      <c r="A906" s="104"/>
      <c r="B906" s="107"/>
    </row>
    <row r="907">
      <c r="A907" s="104"/>
      <c r="B907" s="107"/>
    </row>
    <row r="908">
      <c r="A908" s="104"/>
      <c r="B908" s="107"/>
    </row>
    <row r="909">
      <c r="A909" s="104"/>
      <c r="B909" s="107"/>
    </row>
    <row r="910">
      <c r="A910" s="104"/>
      <c r="B910" s="107"/>
    </row>
    <row r="911">
      <c r="A911" s="104"/>
      <c r="B911" s="107"/>
    </row>
    <row r="912">
      <c r="A912" s="104"/>
      <c r="B912" s="107"/>
    </row>
    <row r="913">
      <c r="A913" s="104"/>
      <c r="B913" s="107"/>
    </row>
    <row r="914">
      <c r="A914" s="104"/>
      <c r="B914" s="107"/>
    </row>
    <row r="915">
      <c r="A915" s="104"/>
      <c r="B915" s="107"/>
    </row>
    <row r="916">
      <c r="A916" s="104"/>
      <c r="B916" s="107"/>
    </row>
    <row r="917">
      <c r="A917" s="104"/>
      <c r="B917" s="107"/>
    </row>
    <row r="918">
      <c r="A918" s="104"/>
      <c r="B918" s="107"/>
    </row>
    <row r="919">
      <c r="A919" s="104"/>
      <c r="B919" s="107"/>
    </row>
    <row r="920">
      <c r="A920" s="104"/>
      <c r="B920" s="107"/>
    </row>
    <row r="921">
      <c r="A921" s="104"/>
      <c r="B921" s="107"/>
    </row>
    <row r="922">
      <c r="A922" s="104"/>
      <c r="B922" s="107"/>
    </row>
    <row r="923">
      <c r="A923" s="104"/>
      <c r="B923" s="107"/>
    </row>
    <row r="924">
      <c r="A924" s="104"/>
      <c r="B924" s="107"/>
    </row>
    <row r="925">
      <c r="A925" s="104"/>
      <c r="B925" s="107"/>
    </row>
    <row r="926">
      <c r="A926" s="104"/>
      <c r="B926" s="107"/>
    </row>
    <row r="927">
      <c r="A927" s="104"/>
      <c r="B927" s="107"/>
    </row>
    <row r="928">
      <c r="A928" s="104"/>
      <c r="B928" s="107"/>
    </row>
    <row r="929">
      <c r="A929" s="104"/>
      <c r="B929" s="107"/>
    </row>
    <row r="930">
      <c r="A930" s="104"/>
      <c r="B930" s="107"/>
    </row>
    <row r="931">
      <c r="A931" s="104"/>
      <c r="B931" s="107"/>
    </row>
    <row r="932">
      <c r="A932" s="104"/>
      <c r="B932" s="107"/>
    </row>
    <row r="933">
      <c r="A933" s="104"/>
      <c r="B933" s="107"/>
    </row>
    <row r="934">
      <c r="A934" s="104"/>
      <c r="B934" s="107"/>
    </row>
    <row r="935">
      <c r="A935" s="104"/>
      <c r="B935" s="107"/>
    </row>
    <row r="936">
      <c r="A936" s="104"/>
      <c r="B936" s="107"/>
    </row>
    <row r="937">
      <c r="A937" s="104"/>
      <c r="B937" s="107"/>
    </row>
    <row r="938">
      <c r="A938" s="104"/>
      <c r="B938" s="107"/>
    </row>
    <row r="939">
      <c r="A939" s="104"/>
      <c r="B939" s="107"/>
    </row>
    <row r="940">
      <c r="A940" s="104"/>
      <c r="B940" s="107"/>
    </row>
    <row r="941">
      <c r="A941" s="104"/>
      <c r="B941" s="107"/>
    </row>
    <row r="942">
      <c r="A942" s="104"/>
      <c r="B942" s="107"/>
    </row>
    <row r="943">
      <c r="A943" s="104"/>
      <c r="B943" s="107"/>
    </row>
    <row r="944">
      <c r="A944" s="104"/>
      <c r="B944" s="107"/>
    </row>
    <row r="945">
      <c r="A945" s="104"/>
      <c r="B945" s="107"/>
    </row>
    <row r="946">
      <c r="A946" s="104"/>
      <c r="B946" s="107"/>
    </row>
    <row r="947">
      <c r="A947" s="104"/>
      <c r="B947" s="107"/>
    </row>
    <row r="948">
      <c r="A948" s="104"/>
      <c r="B948" s="107"/>
    </row>
    <row r="949">
      <c r="A949" s="104"/>
      <c r="B949" s="107"/>
    </row>
    <row r="950">
      <c r="A950" s="104"/>
      <c r="B950" s="107"/>
    </row>
    <row r="951">
      <c r="A951" s="104"/>
      <c r="B951" s="107"/>
    </row>
    <row r="952">
      <c r="A952" s="104"/>
      <c r="B952" s="107"/>
    </row>
    <row r="953">
      <c r="A953" s="104"/>
      <c r="B953" s="107"/>
    </row>
    <row r="954">
      <c r="A954" s="104"/>
      <c r="B954" s="107"/>
    </row>
    <row r="955">
      <c r="A955" s="104"/>
      <c r="B955" s="107"/>
    </row>
    <row r="956">
      <c r="A956" s="104"/>
      <c r="B956" s="107"/>
    </row>
    <row r="957">
      <c r="A957" s="104"/>
      <c r="B957" s="107"/>
    </row>
    <row r="958">
      <c r="A958" s="104"/>
      <c r="B958" s="107"/>
    </row>
    <row r="959">
      <c r="A959" s="104"/>
      <c r="B959" s="107"/>
    </row>
    <row r="960">
      <c r="A960" s="104"/>
      <c r="B960" s="107"/>
    </row>
    <row r="961">
      <c r="A961" s="104"/>
      <c r="B961" s="107"/>
    </row>
    <row r="962">
      <c r="A962" s="104"/>
      <c r="B962" s="107"/>
    </row>
    <row r="963">
      <c r="A963" s="104"/>
      <c r="B963" s="107"/>
    </row>
    <row r="964">
      <c r="A964" s="104"/>
      <c r="B964" s="107"/>
    </row>
    <row r="965">
      <c r="A965" s="104"/>
      <c r="B965" s="107"/>
    </row>
    <row r="966">
      <c r="A966" s="104"/>
      <c r="B966" s="107"/>
    </row>
    <row r="967">
      <c r="A967" s="104"/>
      <c r="B967" s="107"/>
    </row>
    <row r="968">
      <c r="A968" s="104"/>
      <c r="B968" s="107"/>
    </row>
    <row r="969">
      <c r="A969" s="104"/>
      <c r="B969" s="107"/>
    </row>
    <row r="970">
      <c r="A970" s="104"/>
      <c r="B970" s="107"/>
    </row>
    <row r="971">
      <c r="A971" s="104"/>
      <c r="B971" s="107"/>
    </row>
    <row r="972">
      <c r="A972" s="104"/>
      <c r="B972" s="107"/>
    </row>
    <row r="973">
      <c r="A973" s="104"/>
      <c r="B973" s="107"/>
    </row>
    <row r="974">
      <c r="A974" s="104"/>
      <c r="B974" s="107"/>
    </row>
    <row r="975">
      <c r="A975" s="104"/>
      <c r="B975" s="107"/>
    </row>
    <row r="976">
      <c r="A976" s="104"/>
      <c r="B976" s="107"/>
    </row>
    <row r="977">
      <c r="A977" s="104"/>
      <c r="B977" s="107"/>
    </row>
    <row r="978">
      <c r="A978" s="104"/>
      <c r="B978" s="107"/>
    </row>
    <row r="979">
      <c r="A979" s="104"/>
      <c r="B979" s="107"/>
    </row>
    <row r="980">
      <c r="A980" s="104"/>
      <c r="B980" s="107"/>
    </row>
    <row r="981">
      <c r="A981" s="104"/>
      <c r="B981" s="107"/>
    </row>
    <row r="982">
      <c r="A982" s="104"/>
      <c r="B982" s="107"/>
    </row>
    <row r="983">
      <c r="A983" s="104"/>
      <c r="B983" s="107"/>
    </row>
    <row r="984">
      <c r="A984" s="104"/>
      <c r="B984" s="107"/>
    </row>
    <row r="985">
      <c r="A985" s="104"/>
      <c r="B985" s="107"/>
    </row>
    <row r="986">
      <c r="A986" s="104"/>
      <c r="B986" s="107"/>
    </row>
    <row r="987">
      <c r="A987" s="104"/>
      <c r="B987" s="107"/>
    </row>
    <row r="988">
      <c r="A988" s="104"/>
      <c r="B988" s="107"/>
    </row>
    <row r="989">
      <c r="A989" s="104"/>
      <c r="B989" s="107"/>
    </row>
    <row r="990">
      <c r="A990" s="104"/>
      <c r="B990" s="107"/>
    </row>
    <row r="991">
      <c r="A991" s="104"/>
      <c r="B991" s="107"/>
    </row>
    <row r="992">
      <c r="A992" s="104"/>
      <c r="B992" s="107"/>
    </row>
    <row r="993">
      <c r="A993" s="104"/>
      <c r="B993" s="107"/>
    </row>
    <row r="994">
      <c r="A994" s="104"/>
      <c r="B994" s="107"/>
    </row>
    <row r="995">
      <c r="A995" s="104"/>
      <c r="B995" s="107"/>
    </row>
    <row r="996">
      <c r="A996" s="104"/>
      <c r="B996" s="107"/>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12" t="s">
        <v>7</v>
      </c>
      <c r="B1" s="12" t="s">
        <v>11</v>
      </c>
      <c r="C1" s="13" t="s">
        <v>14</v>
      </c>
      <c r="D1" s="9" t="s">
        <v>17</v>
      </c>
      <c r="E1" s="14" t="s">
        <v>6</v>
      </c>
      <c r="F1" s="14" t="s">
        <v>8</v>
      </c>
      <c r="G1" s="14" t="s">
        <v>9</v>
      </c>
      <c r="H1" s="14" t="s">
        <v>12</v>
      </c>
      <c r="I1" s="14" t="s">
        <v>15</v>
      </c>
      <c r="J1" s="14" t="s">
        <v>16</v>
      </c>
      <c r="K1" s="14" t="s">
        <v>19</v>
      </c>
      <c r="L1" s="14" t="s">
        <v>20</v>
      </c>
      <c r="M1" s="14" t="s">
        <v>22</v>
      </c>
      <c r="N1" s="14" t="s">
        <v>24</v>
      </c>
      <c r="O1" s="14" t="s">
        <v>26</v>
      </c>
      <c r="P1" s="9" t="s">
        <v>42</v>
      </c>
      <c r="Q1" s="23" t="s">
        <v>44</v>
      </c>
      <c r="R1" s="23" t="s">
        <v>47</v>
      </c>
      <c r="S1" s="23" t="s">
        <v>48</v>
      </c>
    </row>
    <row r="2" ht="22.5" customHeight="1">
      <c r="A2" s="17">
        <v>1.0</v>
      </c>
      <c r="B2" s="19" t="s">
        <v>38</v>
      </c>
      <c r="C2" s="20" t="s">
        <v>39</v>
      </c>
      <c r="D2" s="9" t="s">
        <v>52</v>
      </c>
      <c r="E2" s="24">
        <f t="shared" ref="E2:O2" si="1">E3+E4</f>
        <v>6413735</v>
      </c>
      <c r="F2" s="24">
        <f t="shared" si="1"/>
        <v>6551294</v>
      </c>
      <c r="G2" s="24">
        <f t="shared" si="1"/>
        <v>6644412</v>
      </c>
      <c r="H2" s="24">
        <f t="shared" si="1"/>
        <v>7996959</v>
      </c>
      <c r="I2" s="24">
        <f t="shared" si="1"/>
        <v>20520104</v>
      </c>
      <c r="J2" s="24">
        <f t="shared" si="1"/>
        <v>19610135</v>
      </c>
      <c r="K2" s="24">
        <f t="shared" si="1"/>
        <v>22849394.5</v>
      </c>
      <c r="L2" s="24">
        <f t="shared" si="1"/>
        <v>25755726</v>
      </c>
      <c r="M2" s="24">
        <f t="shared" si="1"/>
        <v>30542580</v>
      </c>
      <c r="N2" s="24">
        <f t="shared" si="1"/>
        <v>38134536</v>
      </c>
      <c r="O2" s="24">
        <f t="shared" si="1"/>
        <v>40695654</v>
      </c>
      <c r="P2" s="9" t="s">
        <v>66</v>
      </c>
      <c r="Q2" s="23"/>
      <c r="R2" s="25"/>
    </row>
    <row r="3" ht="22.5" customHeight="1">
      <c r="A3" s="17"/>
      <c r="B3" s="19" t="s">
        <v>73</v>
      </c>
      <c r="C3" s="20" t="s">
        <v>75</v>
      </c>
      <c r="D3" s="9" t="s">
        <v>76</v>
      </c>
      <c r="E3" s="26">
        <v>6331609.0</v>
      </c>
      <c r="F3" s="26">
        <v>6436655.0</v>
      </c>
      <c r="G3" s="26">
        <v>6498739.0</v>
      </c>
      <c r="H3" s="26">
        <v>7858137.0</v>
      </c>
      <c r="I3" s="26">
        <v>2.0407076E7</v>
      </c>
      <c r="J3" s="26">
        <v>1.9591482E7</v>
      </c>
      <c r="K3" s="26">
        <v>2.2834E7</v>
      </c>
      <c r="L3" s="26">
        <v>2.574359E7</v>
      </c>
      <c r="M3" s="26">
        <v>3.0437069E7</v>
      </c>
      <c r="N3" s="26">
        <v>3.8030739E7</v>
      </c>
      <c r="O3" s="26">
        <v>4.0592837E7</v>
      </c>
      <c r="P3" s="9" t="s">
        <v>81</v>
      </c>
      <c r="Q3" s="27"/>
      <c r="R3" s="28"/>
    </row>
    <row r="4" ht="22.5" customHeight="1">
      <c r="A4" s="17"/>
      <c r="B4" s="19" t="s">
        <v>87</v>
      </c>
      <c r="C4" s="20" t="s">
        <v>75</v>
      </c>
      <c r="D4" s="9" t="s">
        <v>52</v>
      </c>
      <c r="E4" s="29">
        <v>82126.0</v>
      </c>
      <c r="F4" s="29">
        <v>114639.0</v>
      </c>
      <c r="G4" s="29">
        <v>145673.0</v>
      </c>
      <c r="H4" s="26">
        <v>138822.0</v>
      </c>
      <c r="I4" s="26">
        <v>113028.0</v>
      </c>
      <c r="J4" s="29">
        <v>18653.0</v>
      </c>
      <c r="K4" s="30">
        <f>J4+((L4-J4)/(2022-2020))* (2021-2020)</f>
        <v>15394.5</v>
      </c>
      <c r="L4" s="26">
        <v>12136.0</v>
      </c>
      <c r="M4" s="26">
        <v>105511.0</v>
      </c>
      <c r="N4" s="26">
        <v>103797.0</v>
      </c>
      <c r="O4" s="26">
        <v>102817.0</v>
      </c>
      <c r="P4" s="9" t="s">
        <v>102</v>
      </c>
      <c r="Q4" s="27"/>
      <c r="R4" s="28"/>
    </row>
    <row r="5" ht="22.5" customHeight="1">
      <c r="A5" s="17">
        <v>2.0</v>
      </c>
      <c r="B5" s="19" t="s">
        <v>105</v>
      </c>
      <c r="C5" s="20" t="s">
        <v>39</v>
      </c>
      <c r="D5" s="9" t="s">
        <v>107</v>
      </c>
      <c r="E5" s="24">
        <f t="shared" ref="E5:O5" si="2">E6+E7</f>
        <v>1165</v>
      </c>
      <c r="F5" s="24">
        <f t="shared" si="2"/>
        <v>1170</v>
      </c>
      <c r="G5" s="24">
        <f t="shared" si="2"/>
        <v>1179</v>
      </c>
      <c r="H5" s="24">
        <f t="shared" si="2"/>
        <v>1617</v>
      </c>
      <c r="I5" s="24">
        <f t="shared" si="2"/>
        <v>1817</v>
      </c>
      <c r="J5" s="24">
        <f t="shared" si="2"/>
        <v>1848</v>
      </c>
      <c r="K5" s="24">
        <f t="shared" si="2"/>
        <v>1696</v>
      </c>
      <c r="L5" s="24">
        <f t="shared" si="2"/>
        <v>1818</v>
      </c>
      <c r="M5" s="24">
        <f t="shared" si="2"/>
        <v>1820</v>
      </c>
      <c r="N5" s="24">
        <f t="shared" si="2"/>
        <v>2000</v>
      </c>
      <c r="O5" s="24">
        <f t="shared" si="2"/>
        <v>2291</v>
      </c>
      <c r="P5" s="9" t="s">
        <v>111</v>
      </c>
      <c r="Q5" s="23"/>
      <c r="R5" s="25"/>
    </row>
    <row r="6" ht="22.5" customHeight="1">
      <c r="A6" s="17"/>
      <c r="B6" s="19" t="s">
        <v>113</v>
      </c>
      <c r="C6" s="20" t="s">
        <v>75</v>
      </c>
      <c r="D6" s="36" t="s">
        <v>107</v>
      </c>
      <c r="E6" s="29">
        <v>89.0</v>
      </c>
      <c r="F6" s="29">
        <v>94.0</v>
      </c>
      <c r="G6" s="29">
        <v>117.0</v>
      </c>
      <c r="H6" s="29">
        <v>143.0</v>
      </c>
      <c r="I6" s="29">
        <v>163.0</v>
      </c>
      <c r="J6" s="29">
        <v>172.0</v>
      </c>
      <c r="K6" s="29">
        <v>168.0</v>
      </c>
      <c r="L6" s="29">
        <v>192.0</v>
      </c>
      <c r="M6" s="29">
        <v>193.0</v>
      </c>
      <c r="N6" s="29">
        <v>207.0</v>
      </c>
      <c r="O6" s="29">
        <v>222.0</v>
      </c>
      <c r="P6" s="36" t="s">
        <v>111</v>
      </c>
      <c r="Q6" s="27"/>
      <c r="R6" s="28"/>
    </row>
    <row r="7" ht="22.5" customHeight="1">
      <c r="A7" s="17"/>
      <c r="B7" s="19" t="s">
        <v>129</v>
      </c>
      <c r="C7" s="20" t="s">
        <v>75</v>
      </c>
      <c r="D7" s="36" t="s">
        <v>107</v>
      </c>
      <c r="E7" s="29">
        <v>1076.0</v>
      </c>
      <c r="F7" s="29">
        <v>1076.0</v>
      </c>
      <c r="G7" s="29">
        <v>1062.0</v>
      </c>
      <c r="H7" s="29">
        <v>1474.0</v>
      </c>
      <c r="I7" s="29">
        <v>1654.0</v>
      </c>
      <c r="J7" s="29">
        <v>1676.0</v>
      </c>
      <c r="K7" s="29">
        <v>1528.0</v>
      </c>
      <c r="L7" s="29">
        <v>1626.0</v>
      </c>
      <c r="M7" s="29">
        <v>1627.0</v>
      </c>
      <c r="N7" s="29">
        <v>1793.0</v>
      </c>
      <c r="O7" s="29">
        <v>2069.0</v>
      </c>
      <c r="P7" s="36" t="s">
        <v>111</v>
      </c>
      <c r="Q7" s="27"/>
      <c r="R7" s="28"/>
    </row>
    <row r="8" ht="22.5" customHeight="1">
      <c r="A8" s="17">
        <v>3.0</v>
      </c>
      <c r="B8" s="19" t="s">
        <v>63</v>
      </c>
      <c r="C8" s="20" t="s">
        <v>39</v>
      </c>
      <c r="D8" s="9" t="s">
        <v>135</v>
      </c>
      <c r="E8" s="50">
        <v>165.0</v>
      </c>
      <c r="F8" s="50">
        <v>158.0</v>
      </c>
      <c r="G8" s="50">
        <v>171.0</v>
      </c>
      <c r="H8" s="30">
        <v>177.0</v>
      </c>
      <c r="I8" s="30">
        <v>189.0</v>
      </c>
      <c r="J8" s="30">
        <v>180.0</v>
      </c>
      <c r="K8" s="30">
        <v>170.0</v>
      </c>
      <c r="L8" s="30">
        <v>183.0</v>
      </c>
      <c r="M8" s="30">
        <v>201.0</v>
      </c>
      <c r="N8" s="30">
        <v>218.0</v>
      </c>
      <c r="O8" s="50">
        <v>201.0</v>
      </c>
      <c r="P8" s="9" t="s">
        <v>141</v>
      </c>
      <c r="Q8" s="23"/>
      <c r="R8" s="54" t="s">
        <v>142</v>
      </c>
    </row>
    <row r="9" ht="22.5" customHeight="1">
      <c r="A9" s="56"/>
      <c r="B9" s="57"/>
      <c r="C9" s="58"/>
      <c r="D9" s="9"/>
      <c r="E9" s="59"/>
      <c r="F9" s="59"/>
      <c r="G9" s="59"/>
      <c r="H9" s="30"/>
      <c r="I9" s="30"/>
      <c r="J9" s="30"/>
      <c r="K9" s="30"/>
      <c r="L9" s="30"/>
      <c r="M9" s="30"/>
      <c r="N9" s="30"/>
      <c r="O9" s="59"/>
      <c r="P9" s="9"/>
      <c r="Q9" s="23"/>
      <c r="R9" s="25"/>
    </row>
    <row r="10" ht="22.5" customHeight="1">
      <c r="A10" s="17"/>
      <c r="B10" s="19" t="s">
        <v>152</v>
      </c>
      <c r="C10" s="20" t="s">
        <v>75</v>
      </c>
      <c r="D10" s="9" t="s">
        <v>154</v>
      </c>
      <c r="E10" s="30">
        <v>176.0</v>
      </c>
      <c r="F10" s="30">
        <v>135.0</v>
      </c>
      <c r="G10" s="30">
        <v>149.0</v>
      </c>
      <c r="H10" s="30">
        <v>186.0</v>
      </c>
      <c r="I10" s="30">
        <v>223.0</v>
      </c>
      <c r="J10" s="30">
        <v>228.0</v>
      </c>
      <c r="K10" s="30">
        <v>191.0</v>
      </c>
      <c r="L10" s="29">
        <v>191.0</v>
      </c>
      <c r="M10" s="29"/>
      <c r="N10" s="29">
        <v>382.0</v>
      </c>
      <c r="O10" s="30">
        <v>388.0</v>
      </c>
      <c r="P10" s="36" t="s">
        <v>161</v>
      </c>
      <c r="Q10" s="72" t="s">
        <v>163</v>
      </c>
      <c r="R10" s="28"/>
    </row>
    <row r="11" ht="22.5" customHeight="1">
      <c r="A11" s="17"/>
      <c r="B11" s="19" t="s">
        <v>169</v>
      </c>
      <c r="C11" s="20" t="s">
        <v>75</v>
      </c>
      <c r="D11" s="9" t="s">
        <v>171</v>
      </c>
      <c r="E11" s="30"/>
      <c r="F11" s="30"/>
      <c r="G11" s="30"/>
      <c r="H11" s="30">
        <v>400541.0</v>
      </c>
      <c r="I11" s="30">
        <v>414689.0</v>
      </c>
      <c r="J11" s="30">
        <v>354897.0</v>
      </c>
      <c r="K11" s="30">
        <v>387213.0</v>
      </c>
      <c r="L11" s="29">
        <v>439029.0</v>
      </c>
      <c r="M11" s="29">
        <v>471212.0</v>
      </c>
      <c r="N11" s="29">
        <v>455412.0</v>
      </c>
      <c r="O11" s="29"/>
      <c r="P11" s="36" t="s">
        <v>176</v>
      </c>
      <c r="Q11" s="72" t="s">
        <v>177</v>
      </c>
      <c r="R11" s="28"/>
    </row>
    <row r="12" ht="22.5" customHeight="1">
      <c r="A12" s="17"/>
      <c r="B12" s="19" t="s">
        <v>181</v>
      </c>
      <c r="C12" s="20" t="s">
        <v>75</v>
      </c>
      <c r="D12" s="9" t="s">
        <v>171</v>
      </c>
      <c r="E12" s="24"/>
      <c r="F12" s="24"/>
      <c r="G12" s="24"/>
      <c r="H12" s="30">
        <v>3898.0</v>
      </c>
      <c r="I12" s="30">
        <v>4604.0</v>
      </c>
      <c r="J12" s="30">
        <v>3724.0</v>
      </c>
      <c r="K12" s="30">
        <v>3969.0</v>
      </c>
      <c r="L12" s="29">
        <v>3632.0</v>
      </c>
      <c r="M12" s="29"/>
      <c r="N12" s="29">
        <v>5040.0</v>
      </c>
      <c r="O12" s="29"/>
      <c r="P12" s="36" t="s">
        <v>187</v>
      </c>
      <c r="Q12" s="72" t="s">
        <v>188</v>
      </c>
      <c r="R12" s="28"/>
    </row>
    <row r="13" ht="22.5" customHeight="1">
      <c r="A13" s="17">
        <v>4.0</v>
      </c>
      <c r="B13" s="19" t="s">
        <v>195</v>
      </c>
      <c r="C13" s="20" t="s">
        <v>39</v>
      </c>
      <c r="D13" s="9" t="s">
        <v>171</v>
      </c>
      <c r="E13" s="50">
        <v>254537.0</v>
      </c>
      <c r="F13" s="50">
        <v>263878.0</v>
      </c>
      <c r="G13" s="24">
        <f>151687+121876</f>
        <v>273563</v>
      </c>
      <c r="H13" s="24">
        <f>143309+211375</f>
        <v>354684</v>
      </c>
      <c r="I13" s="24">
        <f>130357+204427</f>
        <v>334784</v>
      </c>
      <c r="J13" s="24">
        <f>138570+175270</f>
        <v>313840</v>
      </c>
      <c r="K13" s="24">
        <f>188484+122271</f>
        <v>310755</v>
      </c>
      <c r="L13" s="84">
        <f>255614+139670</f>
        <v>395284</v>
      </c>
      <c r="M13" s="85">
        <f>122273+237067</f>
        <v>359340</v>
      </c>
      <c r="N13" s="85">
        <f>227695+123251</f>
        <v>350946</v>
      </c>
      <c r="O13" s="85">
        <f>242091+122903</f>
        <v>364994</v>
      </c>
      <c r="P13" s="9" t="s">
        <v>161</v>
      </c>
      <c r="Q13" s="86" t="s">
        <v>210</v>
      </c>
      <c r="R13" s="25"/>
    </row>
    <row r="14" ht="22.5" customHeight="1">
      <c r="A14" s="17"/>
      <c r="B14" s="19" t="s">
        <v>217</v>
      </c>
      <c r="C14" s="20" t="s">
        <v>75</v>
      </c>
      <c r="D14" s="9" t="s">
        <v>171</v>
      </c>
      <c r="E14" s="24"/>
      <c r="F14" s="24"/>
      <c r="G14" s="24">
        <f>305695+44252+151687+14956+25493+2766+39383+90097+121876</f>
        <v>796205</v>
      </c>
      <c r="H14" s="24">
        <f>400523+77533+211375+16286+34573+1964+51008+118798+143309</f>
        <v>1055369</v>
      </c>
      <c r="I14" s="24">
        <f>412955+86084+204427+21623+33621+1506+53133+148993+130357</f>
        <v>1092699</v>
      </c>
      <c r="J14" s="24">
        <f>446907+73120+175270+30291+28906+3418+34209+130798+138570</f>
        <v>1061489</v>
      </c>
      <c r="K14" s="24">
        <f>489500+70976+188484+29747+31003+4839+41755+138121+122271</f>
        <v>1116696</v>
      </c>
      <c r="L14" s="84">
        <f>444742+100671+225614+22693+24400+4693+52282+141321+139670</f>
        <v>1156086</v>
      </c>
      <c r="M14" s="87">
        <f>445522+80453+237067+21136+27788+3867+65827+143118+122273</f>
        <v>1147051</v>
      </c>
      <c r="N14" s="87">
        <f>430550+86081+227695+21458+28211+5923+62708+131777+123251</f>
        <v>1117654</v>
      </c>
      <c r="O14" s="87">
        <f>422756+83946+242091+26409+32154+66926+131870+122903+5660</f>
        <v>1134715</v>
      </c>
      <c r="P14" s="36" t="s">
        <v>161</v>
      </c>
      <c r="Q14" s="72" t="s">
        <v>232</v>
      </c>
      <c r="R14" s="28"/>
    </row>
    <row r="15" ht="22.5" customHeight="1">
      <c r="A15" s="17">
        <v>5.0</v>
      </c>
      <c r="B15" s="19" t="s">
        <v>234</v>
      </c>
      <c r="C15" s="20" t="s">
        <v>39</v>
      </c>
      <c r="D15" s="9" t="s">
        <v>235</v>
      </c>
      <c r="E15" s="50">
        <f t="array" ref="E15">F15/INDEX(LOGEST(F15:O15),1,1)</f>
        <v>43037.00491</v>
      </c>
      <c r="F15" s="30">
        <v>44561.0784555117</v>
      </c>
      <c r="G15" s="30">
        <v>50223.957001398</v>
      </c>
      <c r="H15" s="30">
        <v>56624.3602289948</v>
      </c>
      <c r="I15" s="30">
        <v>63480.0442236269</v>
      </c>
      <c r="J15" s="30">
        <v>58962.0411105434</v>
      </c>
      <c r="K15" s="30">
        <v>59887.5260314565</v>
      </c>
      <c r="L15" s="30">
        <v>57709.075808398</v>
      </c>
      <c r="M15" s="30">
        <v>75624.403529316</v>
      </c>
      <c r="N15" s="30">
        <v>73511.574651116</v>
      </c>
      <c r="O15" s="30">
        <v>55029.5352961885</v>
      </c>
      <c r="P15" s="9" t="s">
        <v>243</v>
      </c>
      <c r="Q15" s="9"/>
      <c r="R15" s="54" t="s">
        <v>244</v>
      </c>
    </row>
    <row r="16" ht="22.5" customHeight="1">
      <c r="A16" s="17"/>
      <c r="B16" s="19" t="s">
        <v>247</v>
      </c>
      <c r="C16" s="20" t="s">
        <v>75</v>
      </c>
      <c r="D16" s="9" t="s">
        <v>235</v>
      </c>
      <c r="E16" s="30">
        <v>76334.0</v>
      </c>
      <c r="F16" s="30">
        <v>77467.0</v>
      </c>
      <c r="G16" s="30">
        <v>108580.0</v>
      </c>
      <c r="H16" s="30">
        <v>114942.0</v>
      </c>
      <c r="I16" s="30">
        <v>70371.45</v>
      </c>
      <c r="J16" s="30"/>
      <c r="K16" s="30"/>
      <c r="L16" s="29"/>
      <c r="M16" s="29"/>
      <c r="N16" s="29"/>
      <c r="O16" s="29"/>
      <c r="P16" s="36" t="s">
        <v>250</v>
      </c>
      <c r="Q16" s="72" t="s">
        <v>253</v>
      </c>
      <c r="R16" s="28"/>
    </row>
    <row r="17" ht="22.5" customHeight="1">
      <c r="A17" s="17"/>
      <c r="B17" s="19" t="s">
        <v>257</v>
      </c>
      <c r="C17" s="20" t="s">
        <v>75</v>
      </c>
      <c r="D17" s="9" t="s">
        <v>235</v>
      </c>
      <c r="E17" s="30">
        <v>75146.0</v>
      </c>
      <c r="F17" s="30">
        <v>65460.72</v>
      </c>
      <c r="G17" s="30">
        <v>70371.45</v>
      </c>
      <c r="H17" s="30">
        <v>70371.45</v>
      </c>
      <c r="I17" s="30"/>
      <c r="J17" s="30"/>
      <c r="K17" s="30"/>
      <c r="L17" s="29"/>
      <c r="M17" s="29"/>
      <c r="N17" s="29"/>
      <c r="O17" s="29"/>
      <c r="P17" s="36" t="s">
        <v>262</v>
      </c>
      <c r="Q17" s="36" t="s">
        <v>264</v>
      </c>
      <c r="R17" s="28"/>
    </row>
    <row r="18" ht="22.5" customHeight="1">
      <c r="A18" s="17">
        <v>6.0</v>
      </c>
      <c r="B18" s="19" t="s">
        <v>86</v>
      </c>
      <c r="C18" s="20" t="s">
        <v>88</v>
      </c>
      <c r="D18" s="9" t="s">
        <v>272</v>
      </c>
      <c r="E18" s="24"/>
      <c r="F18" s="24">
        <f t="shared" ref="F18:O18" si="3">(F2-E2)+F19</f>
        <v>1429799.621</v>
      </c>
      <c r="G18" s="24">
        <f t="shared" si="3"/>
        <v>1413074.036</v>
      </c>
      <c r="H18" s="24">
        <f t="shared" si="3"/>
        <v>2691264.469</v>
      </c>
      <c r="I18" s="24">
        <f t="shared" si="3"/>
        <v>14134373.91</v>
      </c>
      <c r="J18" s="24">
        <f t="shared" si="3"/>
        <v>3224425.69</v>
      </c>
      <c r="K18" s="24">
        <f t="shared" si="3"/>
        <v>7190313.453</v>
      </c>
      <c r="L18" s="24">
        <f t="shared" si="3"/>
        <v>7510032.11</v>
      </c>
      <c r="M18" s="24">
        <f t="shared" si="3"/>
        <v>9976122.866</v>
      </c>
      <c r="N18" s="24">
        <f t="shared" si="3"/>
        <v>13745681.17</v>
      </c>
      <c r="O18" s="24">
        <f t="shared" si="3"/>
        <v>10244472</v>
      </c>
      <c r="P18" s="9" t="s">
        <v>288</v>
      </c>
      <c r="Q18" s="23"/>
      <c r="R18" s="54" t="s">
        <v>292</v>
      </c>
    </row>
    <row r="19" ht="22.5" customHeight="1">
      <c r="A19" s="17">
        <v>7.0</v>
      </c>
      <c r="B19" s="19" t="s">
        <v>95</v>
      </c>
      <c r="C19" s="20" t="s">
        <v>88</v>
      </c>
      <c r="D19" s="9" t="s">
        <v>272</v>
      </c>
      <c r="E19" s="24"/>
      <c r="F19" s="24">
        <f t="shared" ref="F19:O19" si="4">$O$67*E2</f>
        <v>1292240.621</v>
      </c>
      <c r="G19" s="24">
        <f t="shared" si="4"/>
        <v>1319956.036</v>
      </c>
      <c r="H19" s="24">
        <f t="shared" si="4"/>
        <v>1338717.469</v>
      </c>
      <c r="I19" s="24">
        <f t="shared" si="4"/>
        <v>1611228.911</v>
      </c>
      <c r="J19" s="24">
        <f t="shared" si="4"/>
        <v>4134394.69</v>
      </c>
      <c r="K19" s="24">
        <f t="shared" si="4"/>
        <v>3951053.953</v>
      </c>
      <c r="L19" s="24">
        <f t="shared" si="4"/>
        <v>4603700.61</v>
      </c>
      <c r="M19" s="24">
        <f t="shared" si="4"/>
        <v>5189268.866</v>
      </c>
      <c r="N19" s="24">
        <f t="shared" si="4"/>
        <v>6153725.175</v>
      </c>
      <c r="O19" s="24">
        <f t="shared" si="4"/>
        <v>7683354</v>
      </c>
      <c r="P19" s="9" t="s">
        <v>301</v>
      </c>
      <c r="Q19" s="23"/>
      <c r="R19" s="54" t="s">
        <v>302</v>
      </c>
    </row>
    <row r="20" ht="22.5" customHeight="1">
      <c r="A20" s="17">
        <v>8.0</v>
      </c>
      <c r="B20" s="19" t="s">
        <v>100</v>
      </c>
      <c r="C20" s="20" t="s">
        <v>88</v>
      </c>
      <c r="D20" s="9" t="s">
        <v>306</v>
      </c>
      <c r="E20" s="24"/>
      <c r="F20" s="24">
        <f t="shared" ref="F20:O20" si="5">(F5-E5)+F21</f>
        <v>63.25</v>
      </c>
      <c r="G20" s="24">
        <f t="shared" si="5"/>
        <v>67.5</v>
      </c>
      <c r="H20" s="24">
        <f t="shared" si="5"/>
        <v>496.95</v>
      </c>
      <c r="I20" s="24">
        <f t="shared" si="5"/>
        <v>280.85</v>
      </c>
      <c r="J20" s="24">
        <f t="shared" si="5"/>
        <v>121.85</v>
      </c>
      <c r="K20" s="24">
        <f t="shared" si="5"/>
        <v>-59.6</v>
      </c>
      <c r="L20" s="24">
        <f t="shared" si="5"/>
        <v>206.8</v>
      </c>
      <c r="M20" s="24">
        <f t="shared" si="5"/>
        <v>92.9</v>
      </c>
      <c r="N20" s="24">
        <f t="shared" si="5"/>
        <v>271</v>
      </c>
      <c r="O20" s="24">
        <f t="shared" si="5"/>
        <v>391</v>
      </c>
      <c r="P20" s="54" t="s">
        <v>311</v>
      </c>
      <c r="Q20" s="23"/>
      <c r="R20" s="54" t="s">
        <v>312</v>
      </c>
    </row>
    <row r="21" ht="22.5" customHeight="1">
      <c r="A21" s="17">
        <v>9.0</v>
      </c>
      <c r="B21" s="19" t="s">
        <v>106</v>
      </c>
      <c r="C21" s="20" t="s">
        <v>88</v>
      </c>
      <c r="D21" s="9" t="s">
        <v>306</v>
      </c>
      <c r="E21" s="24"/>
      <c r="F21" s="24">
        <f t="shared" ref="F21:O21" si="6">$O$47*E5</f>
        <v>58.25</v>
      </c>
      <c r="G21" s="24">
        <f t="shared" si="6"/>
        <v>58.5</v>
      </c>
      <c r="H21" s="24">
        <f t="shared" si="6"/>
        <v>58.95</v>
      </c>
      <c r="I21" s="24">
        <f t="shared" si="6"/>
        <v>80.85</v>
      </c>
      <c r="J21" s="24">
        <f t="shared" si="6"/>
        <v>90.85</v>
      </c>
      <c r="K21" s="24">
        <f t="shared" si="6"/>
        <v>92.4</v>
      </c>
      <c r="L21" s="24">
        <f t="shared" si="6"/>
        <v>84.8</v>
      </c>
      <c r="M21" s="24">
        <f t="shared" si="6"/>
        <v>90.9</v>
      </c>
      <c r="N21" s="24">
        <f t="shared" si="6"/>
        <v>91</v>
      </c>
      <c r="O21" s="24">
        <f t="shared" si="6"/>
        <v>100</v>
      </c>
      <c r="P21" s="9" t="s">
        <v>301</v>
      </c>
      <c r="Q21" s="23"/>
      <c r="R21" s="9" t="s">
        <v>317</v>
      </c>
    </row>
    <row r="22" ht="22.5" customHeight="1">
      <c r="A22" s="17">
        <v>10.0</v>
      </c>
      <c r="B22" s="19" t="s">
        <v>110</v>
      </c>
      <c r="C22" s="20" t="s">
        <v>88</v>
      </c>
      <c r="D22" s="9" t="s">
        <v>319</v>
      </c>
      <c r="E22" s="24"/>
      <c r="F22" s="24">
        <f t="shared" ref="F22:O22" si="7">(F8-E8)+F23</f>
        <v>1.238894596</v>
      </c>
      <c r="G22" s="24">
        <f t="shared" si="7"/>
        <v>20.88936573</v>
      </c>
      <c r="H22" s="24">
        <f t="shared" si="7"/>
        <v>14.53849076</v>
      </c>
      <c r="I22" s="24">
        <f t="shared" si="7"/>
        <v>20.83808693</v>
      </c>
      <c r="J22" s="24">
        <f t="shared" si="7"/>
        <v>0.437279264</v>
      </c>
      <c r="K22" s="24">
        <f t="shared" si="7"/>
        <v>-1.012114987</v>
      </c>
      <c r="L22" s="24">
        <f t="shared" si="7"/>
        <v>21.48855807</v>
      </c>
      <c r="M22" s="24">
        <f t="shared" si="7"/>
        <v>27.1376831</v>
      </c>
      <c r="N22" s="24">
        <f t="shared" si="7"/>
        <v>27.0364716</v>
      </c>
      <c r="O22" s="24">
        <f t="shared" si="7"/>
        <v>-6.114672595</v>
      </c>
      <c r="P22" s="9" t="s">
        <v>323</v>
      </c>
      <c r="Q22" s="23"/>
      <c r="R22" s="54" t="s">
        <v>324</v>
      </c>
    </row>
    <row r="23" ht="22.5" customHeight="1">
      <c r="A23" s="17">
        <v>11.0</v>
      </c>
      <c r="B23" s="19" t="s">
        <v>112</v>
      </c>
      <c r="C23" s="20" t="s">
        <v>88</v>
      </c>
      <c r="D23" s="9" t="s">
        <v>319</v>
      </c>
      <c r="E23" s="24"/>
      <c r="F23" s="24">
        <f t="shared" ref="F23:O23" si="8">$O$54*E8</f>
        <v>8.238894596</v>
      </c>
      <c r="G23" s="24">
        <f t="shared" si="8"/>
        <v>7.889365734</v>
      </c>
      <c r="H23" s="24">
        <f t="shared" si="8"/>
        <v>8.538490763</v>
      </c>
      <c r="I23" s="24">
        <f t="shared" si="8"/>
        <v>8.83808693</v>
      </c>
      <c r="J23" s="24">
        <f t="shared" si="8"/>
        <v>9.437279264</v>
      </c>
      <c r="K23" s="24">
        <f t="shared" si="8"/>
        <v>8.987885013</v>
      </c>
      <c r="L23" s="24">
        <f t="shared" si="8"/>
        <v>8.488558068</v>
      </c>
      <c r="M23" s="24">
        <f t="shared" si="8"/>
        <v>9.137683097</v>
      </c>
      <c r="N23" s="24">
        <f t="shared" si="8"/>
        <v>10.0364716</v>
      </c>
      <c r="O23" s="24">
        <f t="shared" si="8"/>
        <v>10.88532741</v>
      </c>
      <c r="P23" s="9" t="s">
        <v>301</v>
      </c>
      <c r="Q23" s="23"/>
      <c r="R23" s="54" t="s">
        <v>333</v>
      </c>
    </row>
    <row r="24" ht="22.5" customHeight="1">
      <c r="A24" s="17">
        <v>12.0</v>
      </c>
      <c r="B24" s="19" t="s">
        <v>115</v>
      </c>
      <c r="C24" s="20" t="s">
        <v>88</v>
      </c>
      <c r="D24" s="9" t="s">
        <v>335</v>
      </c>
      <c r="E24" s="24"/>
      <c r="F24" s="24">
        <f t="shared" ref="F24:O24" si="9">(F13-E13)+F25</f>
        <v>16977.11</v>
      </c>
      <c r="G24" s="24">
        <f t="shared" si="9"/>
        <v>17601.34</v>
      </c>
      <c r="H24" s="24">
        <f t="shared" si="9"/>
        <v>89327.89</v>
      </c>
      <c r="I24" s="24">
        <f t="shared" si="9"/>
        <v>-9259.48</v>
      </c>
      <c r="J24" s="24">
        <f t="shared" si="9"/>
        <v>-10900.48</v>
      </c>
      <c r="K24" s="24">
        <f t="shared" si="9"/>
        <v>6330.2</v>
      </c>
      <c r="L24" s="24">
        <f t="shared" si="9"/>
        <v>93851.65</v>
      </c>
      <c r="M24" s="24">
        <f t="shared" si="9"/>
        <v>-24085.48</v>
      </c>
      <c r="N24" s="24">
        <f t="shared" si="9"/>
        <v>2386.2</v>
      </c>
      <c r="O24" s="24">
        <f t="shared" si="9"/>
        <v>24576.38</v>
      </c>
      <c r="P24" s="9" t="s">
        <v>288</v>
      </c>
      <c r="Q24" s="23"/>
      <c r="R24" s="54" t="s">
        <v>343</v>
      </c>
    </row>
    <row r="25" ht="22.5" customHeight="1">
      <c r="A25" s="17">
        <v>13.0</v>
      </c>
      <c r="B25" s="19" t="s">
        <v>117</v>
      </c>
      <c r="C25" s="20" t="s">
        <v>88</v>
      </c>
      <c r="D25" s="9" t="s">
        <v>335</v>
      </c>
      <c r="E25" s="24"/>
      <c r="F25" s="24">
        <f t="shared" ref="F25:O25" si="10">$O$51*E13</f>
        <v>7636.11</v>
      </c>
      <c r="G25" s="24">
        <f t="shared" si="10"/>
        <v>7916.34</v>
      </c>
      <c r="H25" s="24">
        <f t="shared" si="10"/>
        <v>8206.89</v>
      </c>
      <c r="I25" s="24">
        <f t="shared" si="10"/>
        <v>10640.52</v>
      </c>
      <c r="J25" s="24">
        <f t="shared" si="10"/>
        <v>10043.52</v>
      </c>
      <c r="K25" s="24">
        <f t="shared" si="10"/>
        <v>9415.2</v>
      </c>
      <c r="L25" s="24">
        <f t="shared" si="10"/>
        <v>9322.65</v>
      </c>
      <c r="M25" s="24">
        <f t="shared" si="10"/>
        <v>11858.52</v>
      </c>
      <c r="N25" s="24">
        <f t="shared" si="10"/>
        <v>10780.2</v>
      </c>
      <c r="O25" s="24">
        <f t="shared" si="10"/>
        <v>10528.38</v>
      </c>
      <c r="P25" s="9" t="s">
        <v>301</v>
      </c>
      <c r="Q25" s="23"/>
      <c r="R25" s="54" t="s">
        <v>346</v>
      </c>
    </row>
    <row r="26" ht="22.5" customHeight="1">
      <c r="A26" s="17">
        <v>14.0</v>
      </c>
      <c r="B26" s="19" t="s">
        <v>119</v>
      </c>
      <c r="C26" s="20" t="s">
        <v>88</v>
      </c>
      <c r="D26" s="9" t="s">
        <v>347</v>
      </c>
      <c r="E26" s="24"/>
      <c r="F26" s="24">
        <f t="shared" ref="F26:O26" si="11">MAX(0,(F20*$O$61+F22*$O$62)*(1-$O$74))</f>
        <v>6.944447298</v>
      </c>
      <c r="G26" s="24">
        <f t="shared" si="11"/>
        <v>17.19468287</v>
      </c>
      <c r="H26" s="24">
        <f t="shared" si="11"/>
        <v>56.96424538</v>
      </c>
      <c r="I26" s="24">
        <f t="shared" si="11"/>
        <v>38.50404346</v>
      </c>
      <c r="J26" s="24">
        <f t="shared" si="11"/>
        <v>12.40363963</v>
      </c>
      <c r="K26" s="24">
        <f t="shared" si="11"/>
        <v>0</v>
      </c>
      <c r="L26" s="24">
        <f t="shared" si="11"/>
        <v>31.42427903</v>
      </c>
      <c r="M26" s="24">
        <f t="shared" si="11"/>
        <v>22.85884155</v>
      </c>
      <c r="N26" s="24">
        <f t="shared" si="11"/>
        <v>40.6182358</v>
      </c>
      <c r="O26" s="24">
        <f t="shared" si="11"/>
        <v>36.0426637</v>
      </c>
      <c r="P26" s="54" t="s">
        <v>350</v>
      </c>
      <c r="Q26" s="23"/>
      <c r="R26" s="54" t="s">
        <v>351</v>
      </c>
    </row>
    <row r="27" ht="22.5" customHeight="1">
      <c r="A27" s="17">
        <v>15.0</v>
      </c>
      <c r="B27" s="19" t="s">
        <v>353</v>
      </c>
      <c r="C27" s="20" t="s">
        <v>127</v>
      </c>
      <c r="D27" s="9" t="s">
        <v>354</v>
      </c>
      <c r="E27" s="24">
        <f>('PDRB DIY'!M50+'PDRB DIY'!M64)</f>
        <v>10131.09</v>
      </c>
      <c r="F27" s="109">
        <f>('PDRB DIY'!N50+'PDRB DIY'!N64)</f>
        <v>10694.03</v>
      </c>
      <c r="G27" s="24">
        <f>('PDRB DIY'!O50+'PDRB DIY'!O64)</f>
        <v>11347.59</v>
      </c>
      <c r="H27" s="24">
        <f>('PDRB DIY'!P50+'PDRB DIY'!P64)</f>
        <v>12100.99</v>
      </c>
      <c r="I27" s="24">
        <f>('PDRB DIY'!Q50+'PDRB DIY'!Q64)</f>
        <v>13104.38</v>
      </c>
      <c r="J27" s="24">
        <f>('PDRB DIY'!R50+'PDRB DIY'!R64)</f>
        <v>10926.83</v>
      </c>
      <c r="K27" s="24">
        <f>('PDRB DIY'!S50+'PDRB DIY'!S64)</f>
        <v>12097.19</v>
      </c>
      <c r="L27" s="24">
        <f>('PDRB DIY'!T50+'PDRB DIY'!T64)</f>
        <v>13672.58</v>
      </c>
      <c r="M27" s="24">
        <f>('PDRB DIY'!U50+'PDRB DIY'!U64)</f>
        <v>14809.2</v>
      </c>
      <c r="N27" s="24">
        <f>('PDRB DIY'!V50+'PDRB DIY'!V64)</f>
        <v>15873.81</v>
      </c>
      <c r="O27" s="24">
        <f>('PDRB DIY'!W50+'PDRB DIY'!W64)</f>
        <v>16947.62</v>
      </c>
      <c r="P27" s="9" t="s">
        <v>358</v>
      </c>
      <c r="Q27" s="86" t="s">
        <v>359</v>
      </c>
      <c r="R27" s="25"/>
    </row>
    <row r="28" ht="22.5" customHeight="1">
      <c r="A28" s="17"/>
      <c r="B28" s="19" t="s">
        <v>361</v>
      </c>
      <c r="C28" s="20" t="s">
        <v>75</v>
      </c>
      <c r="D28" s="9" t="s">
        <v>362</v>
      </c>
      <c r="E28" s="24">
        <f>('PDRB DIY'!M42+'PDRB DIY'!M50+'PDRB DIY'!M53+'PDRB DIY'!M57+'PDRB DIY'!M59+'PDRB DIY'!M60+'PDRB DIY'!M62+'PDRB DIY'!M63+'PDRB DIY'!M64)</f>
        <v>42138.75</v>
      </c>
      <c r="F28" s="24">
        <f>('PDRB DIY'!N42+'PDRB DIY'!N50+'PDRB DIY'!N53+'PDRB DIY'!N57+'PDRB DIY'!N59+'PDRB DIY'!N60+'PDRB DIY'!N62+'PDRB DIY'!N63+'PDRB DIY'!N64)</f>
        <v>44498.6</v>
      </c>
      <c r="G28" s="24">
        <f>('PDRB DIY'!O42+'PDRB DIY'!O50+'PDRB DIY'!O53+'PDRB DIY'!O57+'PDRB DIY'!O59+'PDRB DIY'!O60+'PDRB DIY'!O62+'PDRB DIY'!O63+'PDRB DIY'!O64)</f>
        <v>47070.14</v>
      </c>
      <c r="H28" s="24">
        <f>('PDRB DIY'!P42+'PDRB DIY'!P50+'PDRB DIY'!P53+'PDRB DIY'!P57+'PDRB DIY'!P59+'PDRB DIY'!P60+'PDRB DIY'!P62+'PDRB DIY'!P63+'PDRB DIY'!P64)</f>
        <v>49957.33</v>
      </c>
      <c r="I28" s="24">
        <f>('PDRB DIY'!Q42+'PDRB DIY'!Q50+'PDRB DIY'!Q53+'PDRB DIY'!Q57+'PDRB DIY'!Q59+'PDRB DIY'!Q60+'PDRB DIY'!Q62+'PDRB DIY'!Q63+'PDRB DIY'!Q64)</f>
        <v>53420.19</v>
      </c>
      <c r="J28" s="24">
        <f>('PDRB DIY'!R42+'PDRB DIY'!R50+'PDRB DIY'!R53+'PDRB DIY'!R57+'PDRB DIY'!R59+'PDRB DIY'!R60+'PDRB DIY'!R62+'PDRB DIY'!R63+'PDRB DIY'!R64)</f>
        <v>54233.09</v>
      </c>
      <c r="K28" s="24">
        <f>('PDRB DIY'!S42+'PDRB DIY'!S50+'PDRB DIY'!S53+'PDRB DIY'!S57+'PDRB DIY'!S59+'PDRB DIY'!S60+'PDRB DIY'!S62+'PDRB DIY'!S63+'PDRB DIY'!S64)</f>
        <v>58605.18</v>
      </c>
      <c r="L28" s="24">
        <f>('PDRB DIY'!T42+'PDRB DIY'!T50+'PDRB DIY'!T53+'PDRB DIY'!T57+'PDRB DIY'!T59+'PDRB DIY'!T60+'PDRB DIY'!T62+'PDRB DIY'!T63+'PDRB DIY'!T64)</f>
        <v>61660.87</v>
      </c>
      <c r="M28" s="24">
        <f>('PDRB DIY'!U42+'PDRB DIY'!U50+'PDRB DIY'!U53+'PDRB DIY'!U57+'PDRB DIY'!U59+'PDRB DIY'!U60+'PDRB DIY'!U62+'PDRB DIY'!U63+'PDRB DIY'!U64)</f>
        <v>65004.68</v>
      </c>
      <c r="N28" s="24">
        <f>('PDRB DIY'!V42+'PDRB DIY'!V50+'PDRB DIY'!V53+'PDRB DIY'!V57+'PDRB DIY'!V59+'PDRB DIY'!V60+'PDRB DIY'!V62+'PDRB DIY'!V63+'PDRB DIY'!V64)</f>
        <v>68342.45</v>
      </c>
      <c r="O28" s="24">
        <f>('PDRB DIY'!W42+'PDRB DIY'!W50+'PDRB DIY'!W53+'PDRB DIY'!W57+'PDRB DIY'!W59+'PDRB DIY'!W60+'PDRB DIY'!W62+'PDRB DIY'!W63+'PDRB DIY'!W64)</f>
        <v>71999.6</v>
      </c>
      <c r="P28" s="36" t="s">
        <v>358</v>
      </c>
      <c r="Q28" s="72" t="s">
        <v>370</v>
      </c>
      <c r="R28" s="28"/>
    </row>
    <row r="29" ht="22.5" customHeight="1">
      <c r="A29" s="17">
        <v>16.0</v>
      </c>
      <c r="B29" s="19" t="s">
        <v>132</v>
      </c>
      <c r="C29" s="20" t="s">
        <v>127</v>
      </c>
      <c r="D29" s="9" t="s">
        <v>371</v>
      </c>
      <c r="E29" s="24">
        <f t="shared" ref="E29:O29" si="12">E64</f>
        <v>5698325</v>
      </c>
      <c r="F29" s="109">
        <f t="shared" si="12"/>
        <v>6097324</v>
      </c>
      <c r="G29" s="24">
        <f t="shared" si="12"/>
        <v>10899900</v>
      </c>
      <c r="H29" s="24">
        <f t="shared" si="12"/>
        <v>10293319</v>
      </c>
      <c r="I29" s="24">
        <f t="shared" si="12"/>
        <v>13363923</v>
      </c>
      <c r="J29" s="24">
        <f t="shared" si="12"/>
        <v>4753098</v>
      </c>
      <c r="K29" s="24">
        <f t="shared" si="12"/>
        <v>7379577</v>
      </c>
      <c r="L29" s="24">
        <f t="shared" si="12"/>
        <v>9267217</v>
      </c>
      <c r="M29" s="24">
        <f t="shared" si="12"/>
        <v>11417702</v>
      </c>
      <c r="N29" s="24">
        <f t="shared" si="12"/>
        <v>11503540</v>
      </c>
      <c r="O29" s="24">
        <f t="shared" si="12"/>
        <v>11954114</v>
      </c>
      <c r="P29" s="9" t="s">
        <v>373</v>
      </c>
      <c r="Q29" s="9" t="s">
        <v>375</v>
      </c>
      <c r="R29" s="25"/>
    </row>
    <row r="30" ht="22.5" customHeight="1">
      <c r="A30" s="17">
        <v>17.0</v>
      </c>
      <c r="B30" s="19" t="s">
        <v>136</v>
      </c>
      <c r="C30" s="20" t="s">
        <v>127</v>
      </c>
      <c r="D30" s="9" t="s">
        <v>354</v>
      </c>
      <c r="E30" s="50">
        <f t="shared" ref="E30:O30" si="13">E2*E43</f>
        <v>6566.052848</v>
      </c>
      <c r="F30" s="50">
        <f t="shared" si="13"/>
        <v>7395.394403</v>
      </c>
      <c r="G30" s="50">
        <f t="shared" si="13"/>
        <v>8270.498617</v>
      </c>
      <c r="H30" s="30">
        <f t="shared" si="13"/>
        <v>10975.91911</v>
      </c>
      <c r="I30" s="30">
        <f t="shared" si="13"/>
        <v>25567.65171</v>
      </c>
      <c r="J30" s="30">
        <f t="shared" si="13"/>
        <v>24683.59769</v>
      </c>
      <c r="K30" s="30">
        <f t="shared" si="13"/>
        <v>46504.79615</v>
      </c>
      <c r="L30" s="30">
        <f t="shared" si="13"/>
        <v>51768.49335</v>
      </c>
      <c r="M30" s="30">
        <f t="shared" si="13"/>
        <v>74244.10158</v>
      </c>
      <c r="N30" s="30">
        <f t="shared" si="13"/>
        <v>103744.195</v>
      </c>
      <c r="O30" s="30">
        <f t="shared" si="13"/>
        <v>110700.6783</v>
      </c>
      <c r="P30" s="9" t="s">
        <v>377</v>
      </c>
      <c r="Q30" s="23"/>
      <c r="R30" s="25"/>
    </row>
    <row r="31" ht="22.5" customHeight="1">
      <c r="A31" s="17"/>
      <c r="B31" s="19" t="s">
        <v>379</v>
      </c>
      <c r="C31" s="20" t="s">
        <v>75</v>
      </c>
      <c r="D31" s="9" t="s">
        <v>380</v>
      </c>
      <c r="E31" s="24"/>
      <c r="F31" s="118"/>
      <c r="G31" s="24"/>
      <c r="H31" s="30">
        <v>1084.61</v>
      </c>
      <c r="I31" s="30">
        <v>1163.4</v>
      </c>
      <c r="J31" s="30">
        <v>1230.84</v>
      </c>
      <c r="K31" s="30">
        <v>2006.76</v>
      </c>
      <c r="L31" s="29">
        <v>2000.45</v>
      </c>
      <c r="M31" s="29">
        <v>2351.86</v>
      </c>
      <c r="N31" s="29">
        <v>2666.17</v>
      </c>
      <c r="O31" s="29">
        <v>2672.98</v>
      </c>
      <c r="P31" s="36" t="s">
        <v>382</v>
      </c>
      <c r="Q31" s="72" t="s">
        <v>383</v>
      </c>
      <c r="R31" s="28"/>
    </row>
    <row r="32" ht="22.5" customHeight="1">
      <c r="A32" s="17"/>
      <c r="B32" s="19"/>
      <c r="C32" s="119"/>
      <c r="D32" s="9"/>
      <c r="E32" s="24"/>
      <c r="F32" s="118"/>
      <c r="G32" s="24"/>
      <c r="H32" s="24"/>
      <c r="I32" s="24"/>
      <c r="J32" s="24"/>
      <c r="K32" s="24"/>
      <c r="L32" s="87"/>
      <c r="M32" s="87"/>
      <c r="N32" s="87"/>
      <c r="O32" s="29"/>
      <c r="P32" s="36"/>
      <c r="Q32" s="120"/>
      <c r="R32" s="28"/>
    </row>
    <row r="33" ht="22.5" customHeight="1">
      <c r="A33" s="17">
        <v>18.0</v>
      </c>
      <c r="B33" s="19" t="s">
        <v>147</v>
      </c>
      <c r="C33" s="20" t="s">
        <v>127</v>
      </c>
      <c r="D33" s="9" t="s">
        <v>387</v>
      </c>
      <c r="E33" s="30">
        <v>34.89</v>
      </c>
      <c r="F33" s="30">
        <v>37.72</v>
      </c>
      <c r="G33" s="30">
        <v>45.08</v>
      </c>
      <c r="H33" s="30">
        <v>45.11</v>
      </c>
      <c r="I33" s="30">
        <v>45.34</v>
      </c>
      <c r="J33" s="30">
        <v>28.9</v>
      </c>
      <c r="K33" s="30">
        <v>27.48</v>
      </c>
      <c r="L33" s="30">
        <v>44.99</v>
      </c>
      <c r="M33" s="30">
        <v>44.77</v>
      </c>
      <c r="N33" s="30">
        <v>42.17</v>
      </c>
      <c r="O33" s="30">
        <v>38.07</v>
      </c>
      <c r="P33" s="9" t="s">
        <v>388</v>
      </c>
      <c r="Q33" s="9" t="s">
        <v>375</v>
      </c>
      <c r="R33" s="54" t="s">
        <v>390</v>
      </c>
    </row>
    <row r="34" ht="22.5" customHeight="1">
      <c r="A34" s="17">
        <v>19.0</v>
      </c>
      <c r="B34" s="19" t="s">
        <v>155</v>
      </c>
      <c r="C34" s="20" t="s">
        <v>127</v>
      </c>
      <c r="D34" s="9" t="s">
        <v>354</v>
      </c>
      <c r="E34" s="24">
        <f>('PMA+PMDA'!B51+'PMA+PMDA'!B52+'PMA+PMDA'!B71+'PMA+PMDA'!B79+'PMA+PMDA'!B80+'PMA+PMDA'!B81+'PMA+PMDA'!B84)/1000</f>
        <v>53.0896</v>
      </c>
      <c r="F34" s="24">
        <f>('PMA+PMDA'!C51+'PMA+PMDA'!C52+'PMA+PMDA'!C71+'PMA+PMDA'!C79+'PMA+PMDA'!C80+'PMA+PMDA'!C81+'PMA+PMDA'!C84)/1000</f>
        <v>373.8424</v>
      </c>
      <c r="G34" s="24">
        <f>('PMA+PMDA'!D51+'PMA+PMDA'!D52+'PMA+PMDA'!D71+'PMA+PMDA'!D79+'PMA+PMDA'!D80+'PMA+PMDA'!D81+'PMA+PMDA'!D84)/1000</f>
        <v>165.3915</v>
      </c>
      <c r="H34" s="24">
        <f>('PMA+PMDA'!E51+'PMA+PMDA'!E52+'PMA+PMDA'!E71+'PMA+PMDA'!E79+'PMA+PMDA'!E80+'PMA+PMDA'!E81+'PMA+PMDA'!E84)/1000</f>
        <v>568.3341</v>
      </c>
      <c r="I34" s="24">
        <f>('PMA+PMDA'!F51+'PMA+PMDA'!F52+'PMA+PMDA'!F71+'PMA+PMDA'!F79+'PMA+PMDA'!F80+'PMA+PMDA'!F81+'PMA+PMDA'!F84)/1000</f>
        <v>741.4483</v>
      </c>
      <c r="J34" s="24">
        <f>('PMA+PMDA'!G51+'PMA+PMDA'!G52+'PMA+PMDA'!G71+'PMA+PMDA'!G79+'PMA+PMDA'!G80+'PMA+PMDA'!G81+'PMA+PMDA'!G84)/1000</f>
        <v>489.6932</v>
      </c>
      <c r="K34" s="24">
        <f>('PMA+PMDA'!H51+'PMA+PMDA'!H52+'PMA+PMDA'!H71+'PMA+PMDA'!H79+'PMA+PMDA'!H80+'PMA+PMDA'!H81+'PMA+PMDA'!H84)/1000</f>
        <v>848.8042</v>
      </c>
      <c r="L34" s="24">
        <f>('PMA+PMDA'!I51+'PMA+PMDA'!I52+'PMA+PMDA'!I71+'PMA+PMDA'!I79+'PMA+PMDA'!I80+'PMA+PMDA'!I81+'PMA+PMDA'!I84)/1000</f>
        <v>463.5886</v>
      </c>
      <c r="M34" s="24">
        <f>('PMA+PMDA'!J51+'PMA+PMDA'!J52+'PMA+PMDA'!J71+'PMA+PMDA'!J79+'PMA+PMDA'!J80+'PMA+PMDA'!J81+'PMA+PMDA'!J84)/1000</f>
        <v>1175.2552</v>
      </c>
      <c r="N34" s="24">
        <f>('PMA+PMDA'!K51+'PMA+PMDA'!K52+'PMA+PMDA'!K71+'PMA+PMDA'!K79+'PMA+PMDA'!K80+'PMA+PMDA'!K81+'PMA+PMDA'!K84)/1000</f>
        <v>712.2835</v>
      </c>
      <c r="O34" s="24">
        <f>('PMA+PMDA'!L51+'PMA+PMDA'!L52+'PMA+PMDA'!L71+'PMA+PMDA'!L79+'PMA+PMDA'!L80+'PMA+PMDA'!L81+'PMA+PMDA'!L84)/1000</f>
        <v>1325.950399</v>
      </c>
      <c r="P34" s="9" t="s">
        <v>396</v>
      </c>
      <c r="Q34" s="86" t="s">
        <v>397</v>
      </c>
      <c r="R34" s="25"/>
    </row>
    <row r="35" ht="22.5" customHeight="1">
      <c r="A35" s="17">
        <v>20.0</v>
      </c>
      <c r="B35" s="19" t="s">
        <v>160</v>
      </c>
      <c r="C35" s="20" t="s">
        <v>127</v>
      </c>
      <c r="D35" s="9" t="s">
        <v>399</v>
      </c>
      <c r="E35" s="122">
        <f t="shared" ref="E35:O35" si="14">$O$55*(E8/$O$58)^$O$75+$O$56*($O$59/E36)+$O$57*(E37/$O$60)</f>
        <v>2.8592249</v>
      </c>
      <c r="F35" s="24">
        <f t="shared" si="14"/>
        <v>2.806269251</v>
      </c>
      <c r="G35" s="24">
        <f t="shared" si="14"/>
        <v>2.779329052</v>
      </c>
      <c r="H35" s="24">
        <f t="shared" si="14"/>
        <v>2.414618911</v>
      </c>
      <c r="I35" s="24">
        <f t="shared" si="14"/>
        <v>1.328740714</v>
      </c>
      <c r="J35" s="24">
        <f t="shared" si="14"/>
        <v>1.359555243</v>
      </c>
      <c r="K35" s="24">
        <f t="shared" si="14"/>
        <v>1.249124064</v>
      </c>
      <c r="L35" s="24">
        <f t="shared" si="14"/>
        <v>1.189363795</v>
      </c>
      <c r="M35" s="24">
        <f t="shared" si="14"/>
        <v>1.096697149</v>
      </c>
      <c r="N35" s="24">
        <f t="shared" si="14"/>
        <v>1.015733366</v>
      </c>
      <c r="O35" s="24">
        <f t="shared" si="14"/>
        <v>1</v>
      </c>
      <c r="P35" s="54" t="s">
        <v>400</v>
      </c>
      <c r="Q35" s="23"/>
      <c r="R35" s="54" t="s">
        <v>401</v>
      </c>
    </row>
    <row r="36" ht="22.5" customHeight="1">
      <c r="A36" s="17">
        <v>21.0</v>
      </c>
      <c r="B36" s="19" t="s">
        <v>166</v>
      </c>
      <c r="C36" s="20" t="s">
        <v>127</v>
      </c>
      <c r="D36" s="9" t="s">
        <v>402</v>
      </c>
      <c r="E36" s="24">
        <f t="shared" ref="E36:O36" si="15">E2/$O$70</f>
        <v>20.23030508</v>
      </c>
      <c r="F36" s="24">
        <f t="shared" si="15"/>
        <v>20.66419586</v>
      </c>
      <c r="G36" s="24">
        <f t="shared" si="15"/>
        <v>20.95791014</v>
      </c>
      <c r="H36" s="24">
        <f t="shared" si="15"/>
        <v>25.22413543</v>
      </c>
      <c r="I36" s="24">
        <f t="shared" si="15"/>
        <v>64.72483882</v>
      </c>
      <c r="J36" s="24">
        <f t="shared" si="15"/>
        <v>61.85460011</v>
      </c>
      <c r="K36" s="24">
        <f t="shared" si="15"/>
        <v>72.07192401</v>
      </c>
      <c r="L36" s="24">
        <f t="shared" si="15"/>
        <v>81.23912111</v>
      </c>
      <c r="M36" s="24">
        <f t="shared" si="15"/>
        <v>96.33789223</v>
      </c>
      <c r="N36" s="24">
        <f t="shared" si="15"/>
        <v>120.2845607</v>
      </c>
      <c r="O36" s="24">
        <f t="shared" si="15"/>
        <v>128.3628799</v>
      </c>
      <c r="P36" s="9" t="s">
        <v>403</v>
      </c>
      <c r="Q36" s="23"/>
      <c r="R36" s="54" t="s">
        <v>404</v>
      </c>
    </row>
    <row r="37" ht="22.5" customHeight="1">
      <c r="A37" s="17">
        <v>22.0</v>
      </c>
      <c r="B37" s="19" t="s">
        <v>173</v>
      </c>
      <c r="C37" s="20" t="s">
        <v>127</v>
      </c>
      <c r="D37" s="9" t="s">
        <v>405</v>
      </c>
      <c r="E37" s="123">
        <f t="shared" ref="E37:O37" si="16">1-(E15/$O$70)</f>
        <v>0.8642519938</v>
      </c>
      <c r="F37" s="85">
        <f t="shared" si="16"/>
        <v>0.8594447367</v>
      </c>
      <c r="G37" s="85">
        <f t="shared" si="16"/>
        <v>0.841582795</v>
      </c>
      <c r="H37" s="85">
        <f t="shared" si="16"/>
        <v>0.8213945412</v>
      </c>
      <c r="I37" s="85">
        <f t="shared" si="16"/>
        <v>0.7997702336</v>
      </c>
      <c r="J37" s="85">
        <f t="shared" si="16"/>
        <v>0.814020991</v>
      </c>
      <c r="K37" s="85">
        <f t="shared" si="16"/>
        <v>0.8111018117</v>
      </c>
      <c r="L37" s="85">
        <f t="shared" si="16"/>
        <v>0.8179731141</v>
      </c>
      <c r="M37" s="85">
        <f t="shared" si="16"/>
        <v>0.7614643021</v>
      </c>
      <c r="N37" s="85">
        <f t="shared" si="16"/>
        <v>0.7681286206</v>
      </c>
      <c r="O37" s="85">
        <f t="shared" si="16"/>
        <v>0.8264249634</v>
      </c>
      <c r="P37" s="9"/>
      <c r="Q37" s="23"/>
      <c r="R37" s="9" t="s">
        <v>406</v>
      </c>
    </row>
    <row r="38" ht="22.5" customHeight="1">
      <c r="A38" s="17">
        <v>23.0</v>
      </c>
      <c r="B38" s="19" t="s">
        <v>175</v>
      </c>
      <c r="C38" s="20" t="s">
        <v>127</v>
      </c>
      <c r="D38" s="9" t="s">
        <v>407</v>
      </c>
      <c r="E38" s="85">
        <f t="shared" ref="E38:O38" si="17">$O$50*EXP(-$O$76*(VALUE(E$1)-2025))</f>
        <v>24.04576297</v>
      </c>
      <c r="F38" s="85">
        <f t="shared" si="17"/>
        <v>23.78222077</v>
      </c>
      <c r="G38" s="85">
        <f t="shared" si="17"/>
        <v>23.521567</v>
      </c>
      <c r="H38" s="85">
        <f t="shared" si="17"/>
        <v>23.26377</v>
      </c>
      <c r="I38" s="85">
        <f t="shared" si="17"/>
        <v>23.00879847</v>
      </c>
      <c r="J38" s="85">
        <f t="shared" si="17"/>
        <v>22.75662142</v>
      </c>
      <c r="K38" s="85">
        <f t="shared" si="17"/>
        <v>22.50720825</v>
      </c>
      <c r="L38" s="85">
        <f t="shared" si="17"/>
        <v>22.26052865</v>
      </c>
      <c r="M38" s="85">
        <f t="shared" si="17"/>
        <v>22.01655267</v>
      </c>
      <c r="N38" s="85">
        <f t="shared" si="17"/>
        <v>21.77525066</v>
      </c>
      <c r="O38" s="85">
        <f t="shared" si="17"/>
        <v>21.53659334</v>
      </c>
      <c r="P38" s="54" t="s">
        <v>408</v>
      </c>
      <c r="Q38" s="23"/>
      <c r="R38" s="54" t="s">
        <v>409</v>
      </c>
    </row>
    <row r="39" ht="22.5" customHeight="1">
      <c r="A39" s="17">
        <v>24.0</v>
      </c>
      <c r="B39" s="19" t="s">
        <v>180</v>
      </c>
      <c r="C39" s="20" t="s">
        <v>127</v>
      </c>
      <c r="D39" s="9" t="s">
        <v>171</v>
      </c>
      <c r="E39" s="85">
        <f t="shared" ref="E39:O39" si="18">E27*E38</f>
        <v>243609.7888</v>
      </c>
      <c r="F39" s="85">
        <f t="shared" si="18"/>
        <v>254327.7824</v>
      </c>
      <c r="G39" s="85">
        <f t="shared" si="18"/>
        <v>266913.0985</v>
      </c>
      <c r="H39" s="85">
        <f t="shared" si="18"/>
        <v>281514.6482</v>
      </c>
      <c r="I39" s="85">
        <f t="shared" si="18"/>
        <v>301516.0384</v>
      </c>
      <c r="J39" s="85">
        <f t="shared" si="18"/>
        <v>248657.7337</v>
      </c>
      <c r="K39" s="85">
        <f t="shared" si="18"/>
        <v>272273.9746</v>
      </c>
      <c r="L39" s="85">
        <f t="shared" si="18"/>
        <v>304358.8588</v>
      </c>
      <c r="M39" s="85">
        <f t="shared" si="18"/>
        <v>326047.5317</v>
      </c>
      <c r="N39" s="85">
        <f t="shared" si="18"/>
        <v>345656.1917</v>
      </c>
      <c r="O39" s="85">
        <f t="shared" si="18"/>
        <v>364994</v>
      </c>
      <c r="P39" s="9" t="s">
        <v>410</v>
      </c>
      <c r="Q39" s="23"/>
      <c r="R39" s="54" t="s">
        <v>411</v>
      </c>
    </row>
    <row r="40" ht="22.5" customHeight="1">
      <c r="A40" s="17">
        <v>25.0</v>
      </c>
      <c r="B40" s="19" t="s">
        <v>184</v>
      </c>
      <c r="C40" s="20" t="s">
        <v>127</v>
      </c>
      <c r="D40" s="9" t="s">
        <v>399</v>
      </c>
      <c r="E40" s="85">
        <f t="shared" ref="E40:O40" si="19">(E29/E63)/(E66*$O$68)</f>
        <v>0.3890972675</v>
      </c>
      <c r="F40" s="85">
        <f t="shared" si="19"/>
        <v>0.371942638</v>
      </c>
      <c r="G40" s="85">
        <f t="shared" si="19"/>
        <v>0.6629111474</v>
      </c>
      <c r="H40" s="85">
        <f t="shared" si="19"/>
        <v>0.493153305</v>
      </c>
      <c r="I40" s="85">
        <f t="shared" si="19"/>
        <v>0.5629605181</v>
      </c>
      <c r="J40" s="85">
        <f t="shared" si="19"/>
        <v>0.1931588383</v>
      </c>
      <c r="K40" s="85">
        <f t="shared" si="19"/>
        <v>0.303376311</v>
      </c>
      <c r="L40" s="85">
        <f t="shared" si="19"/>
        <v>0.36953318</v>
      </c>
      <c r="M40" s="85">
        <f t="shared" si="19"/>
        <v>0.4480262774</v>
      </c>
      <c r="N40" s="85">
        <f t="shared" si="19"/>
        <v>0.3249298668</v>
      </c>
      <c r="O40" s="85">
        <f t="shared" si="19"/>
        <v>0.3577146357</v>
      </c>
      <c r="P40" s="9" t="s">
        <v>412</v>
      </c>
      <c r="Q40" s="23"/>
      <c r="R40" s="54" t="s">
        <v>413</v>
      </c>
    </row>
    <row r="41" ht="22.5" customHeight="1">
      <c r="A41" s="17">
        <v>26.0</v>
      </c>
      <c r="B41" s="19" t="s">
        <v>189</v>
      </c>
      <c r="C41" s="20" t="s">
        <v>190</v>
      </c>
      <c r="D41" s="9" t="s">
        <v>414</v>
      </c>
      <c r="E41" s="30">
        <v>1.4</v>
      </c>
      <c r="F41" s="30">
        <v>1.38</v>
      </c>
      <c r="G41" s="30">
        <v>1.59</v>
      </c>
      <c r="H41" s="30">
        <v>1.58</v>
      </c>
      <c r="I41" s="30">
        <v>1.48</v>
      </c>
      <c r="J41" s="30">
        <v>1.48</v>
      </c>
      <c r="K41" s="30">
        <v>1.59</v>
      </c>
      <c r="L41" s="30">
        <v>1.46</v>
      </c>
      <c r="M41" s="30">
        <v>1.45</v>
      </c>
      <c r="N41" s="30">
        <v>1.41</v>
      </c>
      <c r="O41" s="30">
        <v>1.43</v>
      </c>
      <c r="P41" s="9" t="s">
        <v>373</v>
      </c>
      <c r="Q41" s="9" t="s">
        <v>375</v>
      </c>
      <c r="R41" s="25"/>
    </row>
    <row r="42" ht="22.5" customHeight="1">
      <c r="A42" s="17">
        <v>27.0</v>
      </c>
      <c r="B42" s="19" t="s">
        <v>192</v>
      </c>
      <c r="C42" s="20" t="s">
        <v>190</v>
      </c>
      <c r="D42" s="9" t="s">
        <v>415</v>
      </c>
      <c r="E42" s="24"/>
      <c r="F42" s="24"/>
      <c r="G42" s="24"/>
      <c r="H42" s="24"/>
      <c r="I42" s="24"/>
      <c r="J42" s="24"/>
      <c r="K42" s="24"/>
      <c r="L42" s="85"/>
      <c r="M42" s="85"/>
      <c r="N42" s="85"/>
      <c r="O42" s="85">
        <f>((O2/N2)-1)/(1-0.75)</f>
        <v>0.2686402688</v>
      </c>
      <c r="P42" s="9" t="s">
        <v>416</v>
      </c>
      <c r="Q42" s="23"/>
      <c r="R42" s="54" t="s">
        <v>417</v>
      </c>
    </row>
    <row r="43" ht="22.5" customHeight="1">
      <c r="A43" s="17">
        <v>28.0</v>
      </c>
      <c r="B43" s="19" t="s">
        <v>197</v>
      </c>
      <c r="C43" s="20" t="s">
        <v>190</v>
      </c>
      <c r="D43" s="9" t="s">
        <v>418</v>
      </c>
      <c r="E43" s="50">
        <v>0.00102374869678949</v>
      </c>
      <c r="F43" s="124">
        <v>0.00112884483622915</v>
      </c>
      <c r="G43" s="50">
        <v>0.00124472995011124</v>
      </c>
      <c r="H43" s="30">
        <v>0.00137251161450981</v>
      </c>
      <c r="I43" s="30">
        <v>0.00124598061042321</v>
      </c>
      <c r="J43" s="30">
        <v>0.00125871635713452</v>
      </c>
      <c r="K43" s="30">
        <v>0.00203527477056424</v>
      </c>
      <c r="L43" s="30">
        <v>0.00200997996911935</v>
      </c>
      <c r="M43" s="30">
        <v>0.00243083922759264</v>
      </c>
      <c r="N43" s="30">
        <v>0.00272047875459391</v>
      </c>
      <c r="O43" s="30">
        <v>0.00272020885261601</v>
      </c>
      <c r="P43" s="9" t="s">
        <v>419</v>
      </c>
      <c r="Q43" s="23"/>
      <c r="R43" s="54" t="s">
        <v>420</v>
      </c>
    </row>
    <row r="44" ht="22.5" customHeight="1">
      <c r="A44" s="17">
        <v>29.0</v>
      </c>
      <c r="B44" s="19" t="s">
        <v>200</v>
      </c>
      <c r="C44" s="20" t="s">
        <v>190</v>
      </c>
      <c r="D44" s="9" t="s">
        <v>399</v>
      </c>
      <c r="E44" s="85">
        <f t="shared" ref="E44:O44" si="20">E27/E30</f>
        <v>1.542949811</v>
      </c>
      <c r="F44" s="85">
        <f t="shared" si="20"/>
        <v>1.446039172</v>
      </c>
      <c r="G44" s="85">
        <f t="shared" si="20"/>
        <v>1.372056332</v>
      </c>
      <c r="H44" s="85">
        <f t="shared" si="20"/>
        <v>1.10250357</v>
      </c>
      <c r="I44" s="85">
        <f t="shared" si="20"/>
        <v>0.5125374888</v>
      </c>
      <c r="J44" s="85">
        <f t="shared" si="20"/>
        <v>0.4426757451</v>
      </c>
      <c r="K44" s="85">
        <f t="shared" si="20"/>
        <v>0.2601277933</v>
      </c>
      <c r="L44" s="85">
        <f t="shared" si="20"/>
        <v>0.2641100622</v>
      </c>
      <c r="M44" s="85">
        <f t="shared" si="20"/>
        <v>0.1994663507</v>
      </c>
      <c r="N44" s="85">
        <f t="shared" si="20"/>
        <v>0.1530091394</v>
      </c>
      <c r="O44" s="85">
        <f t="shared" si="20"/>
        <v>0.1530940936</v>
      </c>
      <c r="P44" s="9" t="s">
        <v>421</v>
      </c>
      <c r="Q44" s="9"/>
      <c r="R44" s="125" t="s">
        <v>422</v>
      </c>
      <c r="S44" s="19" t="s">
        <v>423</v>
      </c>
    </row>
    <row r="45" ht="22.5" customHeight="1">
      <c r="A45" s="17">
        <v>30.0</v>
      </c>
      <c r="B45" s="19" t="s">
        <v>203</v>
      </c>
      <c r="C45" s="20" t="s">
        <v>190</v>
      </c>
      <c r="D45" s="54" t="s">
        <v>424</v>
      </c>
      <c r="E45" s="24"/>
      <c r="F45" s="24"/>
      <c r="G45" s="24"/>
      <c r="H45" s="24"/>
      <c r="I45" s="24"/>
      <c r="J45" s="24"/>
      <c r="K45" s="24"/>
      <c r="L45" s="85"/>
      <c r="M45" s="85"/>
      <c r="N45" s="85"/>
      <c r="O45" s="85">
        <f>((O5-E5)+O47*SUM(E5:N5))/SUMPRODUCT(F34:O34,(F33:O33/100-O46)*(F33:O33/100&gt;O46))</f>
        <v>2.313846413</v>
      </c>
      <c r="P45" s="54" t="s">
        <v>425</v>
      </c>
      <c r="Q45" s="23"/>
      <c r="R45" s="54" t="s">
        <v>426</v>
      </c>
    </row>
    <row r="46" ht="22.5" customHeight="1">
      <c r="A46" s="17">
        <v>31.0</v>
      </c>
      <c r="B46" s="19" t="s">
        <v>205</v>
      </c>
      <c r="C46" s="20" t="s">
        <v>190</v>
      </c>
      <c r="D46" s="9" t="s">
        <v>399</v>
      </c>
      <c r="E46" s="24"/>
      <c r="F46" s="24"/>
      <c r="G46" s="24"/>
      <c r="H46" s="24"/>
      <c r="I46" s="24"/>
      <c r="J46" s="24"/>
      <c r="K46" s="24"/>
      <c r="L46" s="85"/>
      <c r="M46" s="85"/>
      <c r="N46" s="85"/>
      <c r="O46" s="30">
        <v>0.275</v>
      </c>
      <c r="P46" s="9" t="s">
        <v>427</v>
      </c>
      <c r="Q46" s="23"/>
      <c r="R46" s="54" t="s">
        <v>428</v>
      </c>
    </row>
    <row r="47" ht="22.5" customHeight="1">
      <c r="A47" s="17">
        <v>32.0</v>
      </c>
      <c r="B47" s="19" t="s">
        <v>207</v>
      </c>
      <c r="C47" s="20" t="s">
        <v>190</v>
      </c>
      <c r="D47" s="9" t="s">
        <v>415</v>
      </c>
      <c r="E47" s="24"/>
      <c r="F47" s="24"/>
      <c r="G47" s="24"/>
      <c r="H47" s="24"/>
      <c r="I47" s="24"/>
      <c r="J47" s="24"/>
      <c r="K47" s="24"/>
      <c r="L47" s="85"/>
      <c r="M47" s="85"/>
      <c r="N47" s="85">
        <f>(J5-K5)/J5</f>
        <v>0.08225108225</v>
      </c>
      <c r="O47" s="30">
        <v>0.05</v>
      </c>
      <c r="P47" s="54" t="s">
        <v>429</v>
      </c>
      <c r="Q47" s="23"/>
      <c r="R47" s="54" t="s">
        <v>430</v>
      </c>
    </row>
    <row r="48" ht="22.5" customHeight="1">
      <c r="A48" s="17">
        <v>33.0</v>
      </c>
      <c r="B48" s="19" t="s">
        <v>211</v>
      </c>
      <c r="C48" s="20" t="s">
        <v>190</v>
      </c>
      <c r="D48" s="9" t="s">
        <v>399</v>
      </c>
      <c r="E48" s="85">
        <f t="shared" ref="E48:N48" si="21">E34/E27</f>
        <v>0.005240265361</v>
      </c>
      <c r="F48" s="85">
        <f t="shared" si="21"/>
        <v>0.03495804669</v>
      </c>
      <c r="G48" s="85">
        <f t="shared" si="21"/>
        <v>0.01457503311</v>
      </c>
      <c r="H48" s="85">
        <f t="shared" si="21"/>
        <v>0.04696591766</v>
      </c>
      <c r="I48" s="85">
        <f t="shared" si="21"/>
        <v>0.05658018922</v>
      </c>
      <c r="J48" s="85">
        <f t="shared" si="21"/>
        <v>0.04481566932</v>
      </c>
      <c r="K48" s="85">
        <f t="shared" si="21"/>
        <v>0.07016540205</v>
      </c>
      <c r="L48" s="85">
        <f t="shared" si="21"/>
        <v>0.03390644633</v>
      </c>
      <c r="M48" s="85">
        <f t="shared" si="21"/>
        <v>0.07935980337</v>
      </c>
      <c r="N48" s="85">
        <f t="shared" si="21"/>
        <v>0.04487161557</v>
      </c>
      <c r="O48" s="126">
        <f>SUM(E34:O34)/SUM(E27:O27)</f>
        <v>0.04881737317</v>
      </c>
      <c r="P48" s="54" t="s">
        <v>431</v>
      </c>
      <c r="Q48" s="54">
        <f>O34/O27</f>
        <v>0.07823814783</v>
      </c>
      <c r="R48" s="54" t="s">
        <v>432</v>
      </c>
    </row>
    <row r="49" ht="22.5" customHeight="1">
      <c r="A49" s="17">
        <v>34.0</v>
      </c>
      <c r="B49" s="19" t="s">
        <v>214</v>
      </c>
      <c r="C49" s="20" t="s">
        <v>190</v>
      </c>
      <c r="D49" s="9" t="s">
        <v>399</v>
      </c>
      <c r="E49" s="24"/>
      <c r="F49" s="24"/>
      <c r="G49" s="24"/>
      <c r="H49" s="24"/>
      <c r="I49" s="24"/>
      <c r="J49" s="24"/>
      <c r="K49" s="24"/>
      <c r="L49" s="85"/>
      <c r="M49" s="85"/>
      <c r="N49" s="85"/>
      <c r="O49" s="127">
        <v>0.0</v>
      </c>
      <c r="P49" s="54" t="s">
        <v>433</v>
      </c>
      <c r="Q49" s="23"/>
      <c r="R49" s="54" t="s">
        <v>434</v>
      </c>
    </row>
    <row r="50" ht="22.5" customHeight="1">
      <c r="A50" s="17">
        <v>35.0</v>
      </c>
      <c r="B50" s="19" t="s">
        <v>219</v>
      </c>
      <c r="C50" s="20" t="s">
        <v>190</v>
      </c>
      <c r="D50" s="54" t="s">
        <v>407</v>
      </c>
      <c r="E50" s="24"/>
      <c r="F50" s="24"/>
      <c r="G50" s="24"/>
      <c r="H50" s="24"/>
      <c r="I50" s="24"/>
      <c r="J50" s="24"/>
      <c r="K50" s="24"/>
      <c r="L50" s="85"/>
      <c r="M50" s="85"/>
      <c r="N50" s="85"/>
      <c r="O50" s="128">
        <f>O13/O27</f>
        <v>21.53659334</v>
      </c>
      <c r="P50" s="54" t="s">
        <v>435</v>
      </c>
      <c r="Q50" s="23"/>
      <c r="R50" s="54" t="s">
        <v>436</v>
      </c>
    </row>
    <row r="51" ht="22.5" customHeight="1">
      <c r="A51" s="17">
        <v>36.0</v>
      </c>
      <c r="B51" s="19" t="s">
        <v>224</v>
      </c>
      <c r="C51" s="20" t="s">
        <v>190</v>
      </c>
      <c r="D51" s="9" t="s">
        <v>415</v>
      </c>
      <c r="E51" s="24"/>
      <c r="F51" s="24"/>
      <c r="G51" s="24"/>
      <c r="H51" s="24"/>
      <c r="I51" s="24"/>
      <c r="J51" s="24"/>
      <c r="K51" s="24"/>
      <c r="L51" s="85"/>
      <c r="M51" s="85"/>
      <c r="N51" s="85"/>
      <c r="O51" s="127">
        <v>0.03</v>
      </c>
      <c r="P51" s="54" t="s">
        <v>437</v>
      </c>
      <c r="Q51" s="23"/>
      <c r="R51" s="54" t="s">
        <v>438</v>
      </c>
    </row>
    <row r="52" ht="22.5" customHeight="1">
      <c r="A52" s="17">
        <v>37.0</v>
      </c>
      <c r="B52" s="19" t="s">
        <v>227</v>
      </c>
      <c r="C52" s="20" t="s">
        <v>190</v>
      </c>
      <c r="D52" s="54" t="s">
        <v>439</v>
      </c>
      <c r="E52" s="24"/>
      <c r="F52" s="24"/>
      <c r="G52" s="24"/>
      <c r="H52" s="24"/>
      <c r="I52" s="24"/>
      <c r="J52" s="24"/>
      <c r="K52" s="24"/>
      <c r="L52" s="85"/>
      <c r="M52" s="85"/>
      <c r="N52" s="85"/>
      <c r="O52" s="128">
        <f>(0.5709*((O8-E8)+O54*SUM(E8:N8)))/SUM(F34:O34)</f>
        <v>0.01051866167</v>
      </c>
      <c r="P52" s="54" t="s">
        <v>440</v>
      </c>
      <c r="Q52" s="23"/>
      <c r="R52" s="54" t="s">
        <v>441</v>
      </c>
    </row>
    <row r="53" ht="22.5" customHeight="1">
      <c r="A53" s="17">
        <v>38.0</v>
      </c>
      <c r="B53" s="19" t="s">
        <v>229</v>
      </c>
      <c r="C53" s="20" t="s">
        <v>190</v>
      </c>
      <c r="D53" s="9" t="s">
        <v>319</v>
      </c>
      <c r="E53" s="24"/>
      <c r="F53" s="24"/>
      <c r="G53" s="24"/>
      <c r="H53" s="24"/>
      <c r="I53" s="24"/>
      <c r="J53" s="24"/>
      <c r="K53" s="24"/>
      <c r="L53" s="85"/>
      <c r="M53" s="85"/>
      <c r="N53" s="85"/>
      <c r="O53" s="128">
        <f>(0.4291*((O8-E8)+O54*SUM(E8:N8)))/10</f>
        <v>5.427172802</v>
      </c>
      <c r="P53" s="54" t="s">
        <v>442</v>
      </c>
      <c r="Q53" s="129"/>
      <c r="R53" s="54" t="s">
        <v>443</v>
      </c>
    </row>
    <row r="54" ht="22.5" customHeight="1">
      <c r="A54" s="17">
        <v>39.0</v>
      </c>
      <c r="B54" s="19" t="s">
        <v>231</v>
      </c>
      <c r="C54" s="20" t="s">
        <v>190</v>
      </c>
      <c r="D54" s="9" t="s">
        <v>415</v>
      </c>
      <c r="E54" s="24"/>
      <c r="F54" s="24"/>
      <c r="G54" s="24"/>
      <c r="H54" s="24"/>
      <c r="I54" s="24"/>
      <c r="J54" s="24"/>
      <c r="K54" s="24"/>
      <c r="L54" s="85"/>
      <c r="M54" s="85"/>
      <c r="N54" s="85"/>
      <c r="O54" s="128">
        <f>AVERAGE(-LN(0.7345)/5,-LN(0.456)/10,-LN(0.2498)/20)-((O8/E8)^(1/10)-1)</f>
        <v>0.04993269452</v>
      </c>
      <c r="P54" s="54" t="s">
        <v>444</v>
      </c>
      <c r="Q54" s="130" t="s">
        <v>445</v>
      </c>
      <c r="R54" s="54" t="s">
        <v>446</v>
      </c>
    </row>
    <row r="55" ht="22.5" customHeight="1">
      <c r="A55" s="17">
        <v>40.0</v>
      </c>
      <c r="B55" s="19" t="s">
        <v>236</v>
      </c>
      <c r="C55" s="20" t="s">
        <v>190</v>
      </c>
      <c r="D55" s="9" t="s">
        <v>399</v>
      </c>
      <c r="E55" s="24"/>
      <c r="F55" s="24"/>
      <c r="G55" s="24"/>
      <c r="H55" s="24"/>
      <c r="I55" s="24"/>
      <c r="J55" s="24"/>
      <c r="K55" s="24"/>
      <c r="L55" s="85"/>
      <c r="M55" s="85"/>
      <c r="N55" s="85"/>
      <c r="O55" s="127">
        <v>0.4</v>
      </c>
      <c r="P55" s="9" t="s">
        <v>447</v>
      </c>
      <c r="Q55" s="23"/>
      <c r="R55" s="54" t="s">
        <v>448</v>
      </c>
    </row>
    <row r="56" ht="22.5" customHeight="1">
      <c r="A56" s="17">
        <v>41.0</v>
      </c>
      <c r="B56" s="19" t="s">
        <v>240</v>
      </c>
      <c r="C56" s="20" t="s">
        <v>190</v>
      </c>
      <c r="D56" s="9" t="s">
        <v>399</v>
      </c>
      <c r="E56" s="24"/>
      <c r="F56" s="24"/>
      <c r="G56" s="24"/>
      <c r="H56" s="24"/>
      <c r="I56" s="24"/>
      <c r="J56" s="24"/>
      <c r="K56" s="24"/>
      <c r="L56" s="85"/>
      <c r="M56" s="85"/>
      <c r="N56" s="85"/>
      <c r="O56" s="127">
        <v>0.35</v>
      </c>
      <c r="P56" s="9" t="s">
        <v>447</v>
      </c>
      <c r="Q56" s="23"/>
      <c r="R56" s="54" t="s">
        <v>449</v>
      </c>
    </row>
    <row r="57" ht="22.5" customHeight="1">
      <c r="A57" s="17">
        <v>42.0</v>
      </c>
      <c r="B57" s="19" t="s">
        <v>242</v>
      </c>
      <c r="C57" s="20" t="s">
        <v>190</v>
      </c>
      <c r="D57" s="9" t="s">
        <v>399</v>
      </c>
      <c r="E57" s="24"/>
      <c r="F57" s="24"/>
      <c r="G57" s="24"/>
      <c r="H57" s="24"/>
      <c r="I57" s="24"/>
      <c r="J57" s="24"/>
      <c r="K57" s="24"/>
      <c r="L57" s="85"/>
      <c r="M57" s="85"/>
      <c r="N57" s="85"/>
      <c r="O57" s="127">
        <v>0.25</v>
      </c>
      <c r="P57" s="9" t="s">
        <v>447</v>
      </c>
      <c r="Q57" s="23"/>
      <c r="R57" s="54" t="s">
        <v>450</v>
      </c>
    </row>
    <row r="58" ht="22.5" customHeight="1">
      <c r="A58" s="17">
        <v>43.0</v>
      </c>
      <c r="B58" s="19" t="s">
        <v>246</v>
      </c>
      <c r="C58" s="20" t="s">
        <v>190</v>
      </c>
      <c r="D58" s="9" t="s">
        <v>135</v>
      </c>
      <c r="E58" s="24"/>
      <c r="F58" s="24"/>
      <c r="G58" s="24"/>
      <c r="H58" s="24"/>
      <c r="I58" s="24"/>
      <c r="J58" s="24"/>
      <c r="K58" s="24"/>
      <c r="L58" s="85"/>
      <c r="M58" s="85"/>
      <c r="N58" s="85"/>
      <c r="O58" s="128">
        <f>O8</f>
        <v>201</v>
      </c>
      <c r="P58" s="9" t="s">
        <v>451</v>
      </c>
      <c r="Q58" s="23"/>
      <c r="R58" s="25"/>
    </row>
    <row r="59" ht="22.5" customHeight="1">
      <c r="A59" s="17">
        <v>44.0</v>
      </c>
      <c r="B59" s="19" t="s">
        <v>249</v>
      </c>
      <c r="C59" s="20" t="s">
        <v>190</v>
      </c>
      <c r="D59" s="9" t="s">
        <v>402</v>
      </c>
      <c r="E59" s="30"/>
      <c r="F59" s="30"/>
      <c r="G59" s="24"/>
      <c r="H59" s="30"/>
      <c r="I59" s="30"/>
      <c r="J59" s="30"/>
      <c r="K59" s="30"/>
      <c r="L59" s="85"/>
      <c r="M59" s="85"/>
      <c r="N59" s="85"/>
      <c r="O59" s="128">
        <f>O2/O70</f>
        <v>128.3628799</v>
      </c>
      <c r="P59" s="9" t="s">
        <v>452</v>
      </c>
      <c r="Q59" s="23"/>
      <c r="R59" s="28"/>
    </row>
    <row r="60" ht="22.5" customHeight="1">
      <c r="A60" s="17">
        <v>45.0</v>
      </c>
      <c r="B60" s="19" t="s">
        <v>251</v>
      </c>
      <c r="C60" s="20" t="s">
        <v>190</v>
      </c>
      <c r="D60" s="9" t="s">
        <v>399</v>
      </c>
      <c r="E60" s="85"/>
      <c r="F60" s="85"/>
      <c r="G60" s="85"/>
      <c r="H60" s="85"/>
      <c r="I60" s="85"/>
      <c r="J60" s="85"/>
      <c r="K60" s="85"/>
      <c r="L60" s="85"/>
      <c r="M60" s="85"/>
      <c r="N60" s="85"/>
      <c r="O60" s="128">
        <f>1-(O15/$O$70)</f>
        <v>0.8264249634</v>
      </c>
      <c r="P60" s="54" t="s">
        <v>453</v>
      </c>
      <c r="Q60" s="23"/>
      <c r="R60" s="9" t="s">
        <v>454</v>
      </c>
    </row>
    <row r="61" ht="22.5" customHeight="1">
      <c r="A61" s="17">
        <v>46.0</v>
      </c>
      <c r="B61" s="19" t="s">
        <v>254</v>
      </c>
      <c r="C61" s="20" t="s">
        <v>190</v>
      </c>
      <c r="D61" s="9" t="s">
        <v>455</v>
      </c>
      <c r="E61" s="30"/>
      <c r="F61" s="30"/>
      <c r="G61" s="30"/>
      <c r="H61" s="30"/>
      <c r="I61" s="30"/>
      <c r="J61" s="30"/>
      <c r="K61" s="30"/>
      <c r="L61" s="85"/>
      <c r="M61" s="85"/>
      <c r="N61" s="85"/>
      <c r="O61" s="127">
        <v>0.1</v>
      </c>
      <c r="P61" s="9" t="s">
        <v>456</v>
      </c>
      <c r="Q61" s="23"/>
      <c r="R61" s="28"/>
    </row>
    <row r="62" ht="22.5" customHeight="1">
      <c r="A62" s="17">
        <v>47.0</v>
      </c>
      <c r="B62" s="19" t="s">
        <v>260</v>
      </c>
      <c r="C62" s="20" t="s">
        <v>190</v>
      </c>
      <c r="D62" s="9" t="s">
        <v>457</v>
      </c>
      <c r="E62" s="30"/>
      <c r="F62" s="30"/>
      <c r="G62" s="30"/>
      <c r="H62" s="30"/>
      <c r="I62" s="30"/>
      <c r="J62" s="30"/>
      <c r="K62" s="30"/>
      <c r="L62" s="85"/>
      <c r="M62" s="85"/>
      <c r="N62" s="85"/>
      <c r="O62" s="127">
        <v>0.5</v>
      </c>
      <c r="P62" s="54" t="s">
        <v>458</v>
      </c>
      <c r="Q62" s="23"/>
      <c r="R62" s="54" t="s">
        <v>459</v>
      </c>
    </row>
    <row r="63" ht="22.5" customHeight="1">
      <c r="A63" s="17">
        <v>48.0</v>
      </c>
      <c r="B63" s="19" t="s">
        <v>268</v>
      </c>
      <c r="C63" s="20" t="s">
        <v>190</v>
      </c>
      <c r="D63" s="9" t="s">
        <v>399</v>
      </c>
      <c r="E63" s="30">
        <v>1.97</v>
      </c>
      <c r="F63" s="30">
        <v>2.11</v>
      </c>
      <c r="G63" s="30">
        <v>1.91</v>
      </c>
      <c r="H63" s="30">
        <v>1.93</v>
      </c>
      <c r="I63" s="30">
        <v>2.02</v>
      </c>
      <c r="J63" s="30">
        <v>2.05</v>
      </c>
      <c r="K63" s="30">
        <v>2.15</v>
      </c>
      <c r="L63" s="30">
        <v>2.08</v>
      </c>
      <c r="M63" s="30">
        <v>2.1</v>
      </c>
      <c r="N63" s="30">
        <v>2.06</v>
      </c>
      <c r="O63" s="127">
        <v>2.07</v>
      </c>
      <c r="P63" s="9" t="s">
        <v>373</v>
      </c>
      <c r="Q63" s="9" t="s">
        <v>375</v>
      </c>
      <c r="R63" s="25"/>
    </row>
    <row r="64" ht="22.5" customHeight="1">
      <c r="A64" s="17">
        <v>49.0</v>
      </c>
      <c r="B64" s="19" t="s">
        <v>277</v>
      </c>
      <c r="C64" s="20" t="s">
        <v>75</v>
      </c>
      <c r="D64" s="9" t="s">
        <v>371</v>
      </c>
      <c r="E64" s="30">
        <v>5698325.0</v>
      </c>
      <c r="F64" s="30">
        <v>6097324.0</v>
      </c>
      <c r="G64" s="30">
        <v>1.08999E7</v>
      </c>
      <c r="H64" s="30">
        <v>1.0293319E7</v>
      </c>
      <c r="I64" s="30">
        <v>1.3363923E7</v>
      </c>
      <c r="J64" s="30">
        <v>4753098.0</v>
      </c>
      <c r="K64" s="30">
        <v>7379577.0</v>
      </c>
      <c r="L64" s="30">
        <v>9267217.0</v>
      </c>
      <c r="M64" s="30">
        <v>1.1417702E7</v>
      </c>
      <c r="N64" s="30">
        <v>1.150354E7</v>
      </c>
      <c r="O64" s="127">
        <v>1.1954114E7</v>
      </c>
      <c r="P64" s="9" t="s">
        <v>373</v>
      </c>
      <c r="Q64" s="9" t="s">
        <v>375</v>
      </c>
      <c r="R64" s="25"/>
    </row>
    <row r="65" ht="22.5" customHeight="1">
      <c r="A65" s="17">
        <v>50.0</v>
      </c>
      <c r="B65" s="19" t="s">
        <v>286</v>
      </c>
      <c r="C65" s="20" t="s">
        <v>75</v>
      </c>
      <c r="D65" s="9" t="s">
        <v>460</v>
      </c>
      <c r="E65" s="30">
        <v>4056916.0</v>
      </c>
      <c r="F65" s="30">
        <v>4407538.0</v>
      </c>
      <c r="G65" s="30">
        <v>6854907.0</v>
      </c>
      <c r="H65" s="30">
        <v>6525894.0</v>
      </c>
      <c r="I65" s="30">
        <v>9006150.0</v>
      </c>
      <c r="J65" s="30">
        <v>3210480.0</v>
      </c>
      <c r="K65" s="30">
        <v>4642840.0</v>
      </c>
      <c r="L65" s="30">
        <v>6364013.0</v>
      </c>
      <c r="M65" s="30">
        <v>7857534.0</v>
      </c>
      <c r="N65" s="30">
        <v>8154522.0</v>
      </c>
      <c r="O65" s="127">
        <v>8377109.0</v>
      </c>
      <c r="P65" s="9" t="s">
        <v>373</v>
      </c>
      <c r="Q65" s="9" t="s">
        <v>375</v>
      </c>
      <c r="R65" s="25"/>
    </row>
    <row r="66" ht="22.5" customHeight="1">
      <c r="A66" s="17">
        <v>51.0</v>
      </c>
      <c r="B66" s="19" t="s">
        <v>291</v>
      </c>
      <c r="C66" s="20" t="s">
        <v>75</v>
      </c>
      <c r="D66" s="9" t="s">
        <v>461</v>
      </c>
      <c r="E66" s="30">
        <v>22594.0</v>
      </c>
      <c r="F66" s="30">
        <v>23613.0</v>
      </c>
      <c r="G66" s="30">
        <v>26164.0</v>
      </c>
      <c r="H66" s="30">
        <v>32869.0</v>
      </c>
      <c r="I66" s="30">
        <v>35717.0</v>
      </c>
      <c r="J66" s="30">
        <v>36482.0</v>
      </c>
      <c r="K66" s="30">
        <v>34386.0</v>
      </c>
      <c r="L66" s="30">
        <v>36644.0</v>
      </c>
      <c r="M66" s="30">
        <v>36883.0</v>
      </c>
      <c r="N66" s="30">
        <v>52233.0</v>
      </c>
      <c r="O66" s="127">
        <v>49066.0</v>
      </c>
      <c r="P66" s="9" t="s">
        <v>462</v>
      </c>
      <c r="Q66" s="9" t="s">
        <v>463</v>
      </c>
      <c r="R66" s="9" t="s">
        <v>464</v>
      </c>
    </row>
    <row r="67" ht="22.5" customHeight="1">
      <c r="A67" s="17">
        <v>52.0</v>
      </c>
      <c r="B67" s="19" t="s">
        <v>295</v>
      </c>
      <c r="C67" s="20" t="s">
        <v>190</v>
      </c>
      <c r="D67" s="9" t="s">
        <v>415</v>
      </c>
      <c r="E67" s="30"/>
      <c r="F67" s="30"/>
      <c r="G67" s="30"/>
      <c r="H67" s="30"/>
      <c r="I67" s="30"/>
      <c r="J67" s="30"/>
      <c r="K67" s="30"/>
      <c r="L67" s="30"/>
      <c r="M67" s="30"/>
      <c r="N67" s="30"/>
      <c r="O67" s="127">
        <f>((O2/N2)-1)*0.75/(1-0.75)</f>
        <v>0.2014802016</v>
      </c>
      <c r="P67" s="9" t="s">
        <v>465</v>
      </c>
      <c r="Q67" s="9"/>
      <c r="R67" s="54" t="s">
        <v>466</v>
      </c>
    </row>
    <row r="68" ht="22.5" customHeight="1">
      <c r="A68" s="17">
        <v>53.0</v>
      </c>
      <c r="B68" s="19" t="s">
        <v>297</v>
      </c>
      <c r="C68" s="20" t="s">
        <v>190</v>
      </c>
      <c r="D68" s="9" t="s">
        <v>467</v>
      </c>
      <c r="E68" s="30"/>
      <c r="F68" s="30"/>
      <c r="G68" s="30"/>
      <c r="H68" s="30"/>
      <c r="I68" s="30"/>
      <c r="J68" s="30"/>
      <c r="K68" s="30"/>
      <c r="L68" s="30"/>
      <c r="M68" s="30"/>
      <c r="N68" s="30"/>
      <c r="O68" s="127">
        <f>SUMPRODUCT(E29:O29/E63:O63)/SUMPRODUCT(E33:O33/100*E66:O66)</f>
        <v>329.0255955</v>
      </c>
      <c r="P68" s="54" t="s">
        <v>468</v>
      </c>
      <c r="Q68" s="9"/>
      <c r="R68" s="54" t="s">
        <v>469</v>
      </c>
    </row>
    <row r="69" ht="22.5" customHeight="1">
      <c r="A69" s="17">
        <v>54.0</v>
      </c>
      <c r="B69" s="19" t="s">
        <v>299</v>
      </c>
      <c r="C69" s="20" t="s">
        <v>190</v>
      </c>
      <c r="D69" s="9" t="s">
        <v>399</v>
      </c>
      <c r="E69" s="30">
        <f t="shared" ref="E69:O69" si="22">E65/E2</f>
        <v>0.6325356442</v>
      </c>
      <c r="F69" s="30">
        <f t="shared" si="22"/>
        <v>0.6727736536</v>
      </c>
      <c r="G69" s="30">
        <f t="shared" si="22"/>
        <v>1.031680004</v>
      </c>
      <c r="H69" s="30">
        <f t="shared" si="22"/>
        <v>0.8160469498</v>
      </c>
      <c r="I69" s="30">
        <f t="shared" si="22"/>
        <v>0.4388939744</v>
      </c>
      <c r="J69" s="30">
        <f t="shared" si="22"/>
        <v>0.1637153441</v>
      </c>
      <c r="K69" s="30">
        <f t="shared" si="22"/>
        <v>0.2031931306</v>
      </c>
      <c r="L69" s="30">
        <f t="shared" si="22"/>
        <v>0.2470911905</v>
      </c>
      <c r="M69" s="30">
        <f t="shared" si="22"/>
        <v>0.2572649069</v>
      </c>
      <c r="N69" s="30">
        <f t="shared" si="22"/>
        <v>0.2138356161</v>
      </c>
      <c r="O69" s="127">
        <f t="shared" si="22"/>
        <v>0.2058477547</v>
      </c>
      <c r="P69" s="54" t="s">
        <v>470</v>
      </c>
      <c r="Q69" s="9"/>
      <c r="R69" s="28"/>
      <c r="S69" s="19" t="s">
        <v>471</v>
      </c>
    </row>
    <row r="70" ht="22.5" customHeight="1">
      <c r="A70" s="17">
        <v>55.0</v>
      </c>
      <c r="B70" s="19" t="s">
        <v>303</v>
      </c>
      <c r="C70" s="20" t="s">
        <v>190</v>
      </c>
      <c r="D70" s="9" t="s">
        <v>235</v>
      </c>
      <c r="E70" s="30"/>
      <c r="F70" s="30"/>
      <c r="G70" s="30"/>
      <c r="H70" s="30"/>
      <c r="I70" s="30"/>
      <c r="J70" s="30"/>
      <c r="K70" s="30"/>
      <c r="L70" s="30"/>
      <c r="M70" s="30"/>
      <c r="N70" s="30"/>
      <c r="O70" s="127">
        <v>317036.0</v>
      </c>
      <c r="P70" s="9" t="s">
        <v>472</v>
      </c>
      <c r="Q70" s="131" t="s">
        <v>473</v>
      </c>
      <c r="R70" s="28"/>
    </row>
    <row r="71" ht="22.5" customHeight="1">
      <c r="A71" s="17">
        <v>56.0</v>
      </c>
      <c r="B71" s="19" t="s">
        <v>307</v>
      </c>
      <c r="C71" s="20" t="s">
        <v>190</v>
      </c>
      <c r="D71" s="9" t="s">
        <v>474</v>
      </c>
      <c r="E71" s="30">
        <f t="shared" ref="E71:O71" si="23">E66/E5</f>
        <v>19.39399142</v>
      </c>
      <c r="F71" s="30">
        <f t="shared" si="23"/>
        <v>20.18205128</v>
      </c>
      <c r="G71" s="30">
        <f t="shared" si="23"/>
        <v>22.19168787</v>
      </c>
      <c r="H71" s="30">
        <f t="shared" si="23"/>
        <v>20.32714904</v>
      </c>
      <c r="I71" s="30">
        <f t="shared" si="23"/>
        <v>19.65712713</v>
      </c>
      <c r="J71" s="30">
        <f t="shared" si="23"/>
        <v>19.74134199</v>
      </c>
      <c r="K71" s="30">
        <f t="shared" si="23"/>
        <v>20.27476415</v>
      </c>
      <c r="L71" s="30">
        <f t="shared" si="23"/>
        <v>20.15621562</v>
      </c>
      <c r="M71" s="30">
        <f t="shared" si="23"/>
        <v>20.26538462</v>
      </c>
      <c r="N71" s="30">
        <f t="shared" si="23"/>
        <v>26.1165</v>
      </c>
      <c r="O71" s="127">
        <f t="shared" si="23"/>
        <v>21.41684854</v>
      </c>
      <c r="P71" s="9" t="s">
        <v>475</v>
      </c>
      <c r="Q71" s="9"/>
      <c r="R71" s="25"/>
      <c r="S71" s="19" t="s">
        <v>476</v>
      </c>
    </row>
    <row r="72" ht="22.5" customHeight="1">
      <c r="A72" s="17">
        <v>57.0</v>
      </c>
      <c r="B72" s="19" t="s">
        <v>309</v>
      </c>
      <c r="C72" s="20" t="s">
        <v>88</v>
      </c>
      <c r="D72" s="9" t="s">
        <v>347</v>
      </c>
      <c r="E72" s="30"/>
      <c r="F72" s="50">
        <f t="shared" ref="F72:O72" si="24">(F15-E15)-F26</f>
        <v>1517.129101</v>
      </c>
      <c r="G72" s="30">
        <f t="shared" si="24"/>
        <v>5645.683863</v>
      </c>
      <c r="H72" s="30">
        <f t="shared" si="24"/>
        <v>6343.438982</v>
      </c>
      <c r="I72" s="30">
        <f t="shared" si="24"/>
        <v>6817.179951</v>
      </c>
      <c r="J72" s="30">
        <f t="shared" si="24"/>
        <v>-4530.406753</v>
      </c>
      <c r="K72" s="30">
        <f t="shared" si="24"/>
        <v>925.4849209</v>
      </c>
      <c r="L72" s="30">
        <f t="shared" si="24"/>
        <v>-2209.874502</v>
      </c>
      <c r="M72" s="30">
        <f t="shared" si="24"/>
        <v>17892.46888</v>
      </c>
      <c r="N72" s="30">
        <f t="shared" si="24"/>
        <v>-2153.447114</v>
      </c>
      <c r="O72" s="127">
        <f t="shared" si="24"/>
        <v>-18518.08202</v>
      </c>
      <c r="P72" s="54" t="s">
        <v>477</v>
      </c>
      <c r="Q72" s="9"/>
      <c r="R72" s="54" t="s">
        <v>478</v>
      </c>
      <c r="S72" s="19"/>
    </row>
    <row r="73" ht="22.5" customHeight="1">
      <c r="A73" s="17">
        <v>58.0</v>
      </c>
      <c r="B73" s="19" t="s">
        <v>313</v>
      </c>
      <c r="C73" s="20" t="s">
        <v>190</v>
      </c>
      <c r="D73" s="9" t="s">
        <v>415</v>
      </c>
      <c r="E73" s="30"/>
      <c r="F73" s="127"/>
      <c r="G73" s="30"/>
      <c r="H73" s="30"/>
      <c r="I73" s="30"/>
      <c r="J73" s="30"/>
      <c r="K73" s="30"/>
      <c r="L73" s="30"/>
      <c r="M73" s="30"/>
      <c r="N73" s="30"/>
      <c r="O73" s="127">
        <f t="array" ref="O73">(INDEX(LOGEST(F15:O15),1,1)-1)/AVERAGE(F37:O37)</f>
        <v>0.04360517216</v>
      </c>
      <c r="P73" s="54" t="s">
        <v>479</v>
      </c>
      <c r="Q73" s="9"/>
      <c r="R73" s="54" t="s">
        <v>480</v>
      </c>
    </row>
    <row r="74" ht="22.5" customHeight="1">
      <c r="A74" s="17">
        <v>59.0</v>
      </c>
      <c r="B74" s="19" t="s">
        <v>315</v>
      </c>
      <c r="C74" s="20" t="s">
        <v>190</v>
      </c>
      <c r="D74" s="9" t="s">
        <v>399</v>
      </c>
      <c r="E74" s="30"/>
      <c r="F74" s="127"/>
      <c r="G74" s="30"/>
      <c r="H74" s="30"/>
      <c r="I74" s="30"/>
      <c r="J74" s="30"/>
      <c r="K74" s="30"/>
      <c r="L74" s="30"/>
      <c r="M74" s="30"/>
      <c r="N74" s="30"/>
      <c r="O74" s="127">
        <v>0.0</v>
      </c>
      <c r="P74" s="54" t="s">
        <v>481</v>
      </c>
      <c r="Q74" s="9"/>
      <c r="R74" s="54" t="s">
        <v>482</v>
      </c>
    </row>
    <row r="75" ht="22.5" customHeight="1">
      <c r="A75" s="17">
        <v>60.0</v>
      </c>
      <c r="B75" s="19" t="s">
        <v>318</v>
      </c>
      <c r="C75" s="20" t="s">
        <v>190</v>
      </c>
      <c r="D75" s="9" t="s">
        <v>399</v>
      </c>
      <c r="E75" s="30"/>
      <c r="F75" s="127"/>
      <c r="G75" s="30"/>
      <c r="H75" s="30"/>
      <c r="I75" s="30"/>
      <c r="J75" s="30"/>
      <c r="K75" s="30"/>
      <c r="L75" s="30"/>
      <c r="M75" s="30"/>
      <c r="N75" s="30"/>
      <c r="O75" s="127">
        <v>0.3</v>
      </c>
      <c r="P75" s="54" t="s">
        <v>483</v>
      </c>
      <c r="Q75" s="9"/>
      <c r="R75" s="54" t="s">
        <v>484</v>
      </c>
    </row>
    <row r="76" ht="22.5" customHeight="1">
      <c r="A76" s="17">
        <v>61.0</v>
      </c>
      <c r="B76" s="79" t="s">
        <v>321</v>
      </c>
      <c r="C76" s="81" t="s">
        <v>190</v>
      </c>
      <c r="D76" s="36" t="s">
        <v>415</v>
      </c>
      <c r="E76" s="29"/>
      <c r="F76" s="132"/>
      <c r="G76" s="29"/>
      <c r="H76" s="29"/>
      <c r="I76" s="29"/>
      <c r="J76" s="29"/>
      <c r="K76" s="29"/>
      <c r="L76" s="29"/>
      <c r="M76" s="29"/>
      <c r="N76" s="29"/>
      <c r="O76" s="132">
        <f t="array" ref="O76">-LN(INDEX(LOGEST(E13:O13/E27:O27),1,1))</f>
        <v>0.01102053012</v>
      </c>
      <c r="P76" s="133" t="s">
        <v>485</v>
      </c>
      <c r="Q76" s="36"/>
      <c r="R76" s="133" t="s">
        <v>486</v>
      </c>
      <c r="S76" s="108"/>
    </row>
    <row r="77" ht="22.5" customHeight="1">
      <c r="A77" s="17">
        <v>62.0</v>
      </c>
      <c r="B77" s="79" t="s">
        <v>325</v>
      </c>
      <c r="C77" s="81" t="s">
        <v>190</v>
      </c>
      <c r="D77" s="36" t="s">
        <v>282</v>
      </c>
      <c r="E77" s="29"/>
      <c r="F77" s="132"/>
      <c r="G77" s="29"/>
      <c r="H77" s="29"/>
      <c r="I77" s="29"/>
      <c r="J77" s="29"/>
      <c r="K77" s="29"/>
      <c r="L77" s="29"/>
      <c r="M77" s="29"/>
      <c r="N77" s="29"/>
      <c r="O77" s="132">
        <v>1.0</v>
      </c>
      <c r="P77" s="133" t="s">
        <v>487</v>
      </c>
      <c r="Q77" s="36"/>
      <c r="R77" s="133" t="s">
        <v>488</v>
      </c>
      <c r="S77" s="108"/>
    </row>
    <row r="78" ht="22.5" customHeight="1">
      <c r="A78" s="17">
        <v>63.0</v>
      </c>
      <c r="B78" s="79" t="s">
        <v>329</v>
      </c>
      <c r="C78" s="81" t="s">
        <v>190</v>
      </c>
      <c r="D78" s="36"/>
      <c r="E78" s="29"/>
      <c r="F78" s="132"/>
      <c r="G78" s="29"/>
      <c r="H78" s="29"/>
      <c r="I78" s="29"/>
      <c r="J78" s="29"/>
      <c r="K78" s="29"/>
      <c r="L78" s="29"/>
      <c r="M78" s="29"/>
      <c r="N78" s="29"/>
      <c r="O78" s="132">
        <v>1.5</v>
      </c>
      <c r="P78" s="133" t="s">
        <v>489</v>
      </c>
      <c r="Q78" s="36"/>
      <c r="R78" s="133"/>
      <c r="S78" s="108"/>
    </row>
    <row r="79" ht="22.5" customHeight="1">
      <c r="A79" s="103">
        <v>64.0</v>
      </c>
      <c r="B79" s="79" t="s">
        <v>332</v>
      </c>
      <c r="C79" s="81" t="s">
        <v>190</v>
      </c>
      <c r="D79" s="36" t="s">
        <v>282</v>
      </c>
      <c r="E79" s="29"/>
      <c r="F79" s="132"/>
      <c r="G79" s="29"/>
      <c r="H79" s="29"/>
      <c r="I79" s="29"/>
      <c r="J79" s="29"/>
      <c r="K79" s="29"/>
      <c r="L79" s="29"/>
      <c r="M79" s="29"/>
      <c r="N79" s="29"/>
      <c r="O79" s="132">
        <v>2025.0</v>
      </c>
      <c r="P79" s="133"/>
      <c r="Q79" s="36"/>
      <c r="R79" s="133"/>
      <c r="S79" s="108"/>
    </row>
    <row r="80">
      <c r="A80" s="107"/>
      <c r="D80" s="134"/>
      <c r="P80" s="134"/>
      <c r="Q80" s="134"/>
      <c r="R80" s="134"/>
    </row>
    <row r="81">
      <c r="A81" s="107"/>
      <c r="D81" s="134"/>
      <c r="P81" s="134"/>
      <c r="Q81" s="134"/>
      <c r="R81" s="134"/>
    </row>
    <row r="82">
      <c r="A82" s="107"/>
      <c r="D82" s="134"/>
      <c r="P82" s="134"/>
      <c r="Q82" s="134"/>
      <c r="R82" s="134"/>
    </row>
    <row r="83">
      <c r="A83" s="107"/>
      <c r="D83" s="134"/>
      <c r="P83" s="134"/>
      <c r="Q83" s="134"/>
      <c r="R83" s="134"/>
    </row>
    <row r="84">
      <c r="A84" s="107"/>
      <c r="B84" s="105" t="s">
        <v>490</v>
      </c>
      <c r="D84" s="134"/>
      <c r="P84" s="134"/>
      <c r="Q84" s="134"/>
      <c r="R84" s="134"/>
    </row>
    <row r="85">
      <c r="A85" s="107"/>
      <c r="B85" s="105" t="s">
        <v>491</v>
      </c>
      <c r="D85" s="134"/>
      <c r="P85" s="134"/>
      <c r="Q85" s="134"/>
      <c r="R85" s="134"/>
    </row>
    <row r="86">
      <c r="A86" s="107"/>
      <c r="B86" s="107"/>
      <c r="D86" s="134"/>
      <c r="P86" s="134"/>
      <c r="Q86" s="134"/>
      <c r="R86" s="134"/>
    </row>
    <row r="87">
      <c r="A87" s="107"/>
      <c r="B87" s="135" t="s">
        <v>492</v>
      </c>
      <c r="D87" s="134"/>
      <c r="P87" s="134"/>
      <c r="Q87" s="134"/>
      <c r="R87" s="134"/>
    </row>
    <row r="88">
      <c r="A88" s="107"/>
      <c r="B88" s="136" t="s">
        <v>493</v>
      </c>
      <c r="D88" s="134"/>
      <c r="P88" s="134"/>
      <c r="Q88" s="134"/>
      <c r="R88" s="134"/>
    </row>
    <row r="89">
      <c r="A89" s="107"/>
      <c r="B89" s="107"/>
      <c r="D89" s="134"/>
      <c r="P89" s="134"/>
      <c r="Q89" s="134"/>
      <c r="R89" s="134"/>
    </row>
    <row r="90">
      <c r="A90" s="107"/>
      <c r="B90" s="107"/>
      <c r="D90" s="134"/>
      <c r="P90" s="134"/>
      <c r="Q90" s="134"/>
      <c r="R90" s="134"/>
    </row>
    <row r="91">
      <c r="A91" s="107"/>
      <c r="B91" s="107"/>
      <c r="D91" s="134"/>
      <c r="P91" s="134"/>
      <c r="Q91" s="134"/>
      <c r="R91" s="134"/>
    </row>
    <row r="92">
      <c r="A92" s="107"/>
      <c r="B92" s="107"/>
      <c r="D92" s="134"/>
      <c r="P92" s="134"/>
      <c r="Q92" s="134"/>
      <c r="R92" s="134"/>
    </row>
    <row r="93">
      <c r="A93" s="107"/>
      <c r="B93" s="107"/>
      <c r="D93" s="134"/>
      <c r="P93" s="134"/>
      <c r="Q93" s="134"/>
      <c r="R93" s="134"/>
    </row>
    <row r="94">
      <c r="A94" s="107"/>
      <c r="B94" s="107"/>
      <c r="D94" s="134"/>
      <c r="P94" s="134"/>
      <c r="Q94" s="134"/>
      <c r="R94" s="134"/>
    </row>
    <row r="95">
      <c r="A95" s="107"/>
      <c r="B95" s="107"/>
      <c r="D95" s="134"/>
      <c r="P95" s="134"/>
      <c r="Q95" s="134"/>
      <c r="R95" s="134"/>
    </row>
    <row r="96">
      <c r="A96" s="107"/>
      <c r="B96" s="107"/>
      <c r="D96" s="134"/>
      <c r="P96" s="134"/>
      <c r="Q96" s="134"/>
      <c r="R96" s="134"/>
    </row>
    <row r="97">
      <c r="A97" s="107"/>
      <c r="B97" s="107"/>
      <c r="D97" s="134"/>
      <c r="P97" s="134"/>
      <c r="Q97" s="134"/>
      <c r="R97" s="134"/>
    </row>
    <row r="98">
      <c r="A98" s="107"/>
      <c r="B98" s="107"/>
      <c r="D98" s="134"/>
      <c r="P98" s="134"/>
      <c r="Q98" s="134"/>
      <c r="R98" s="134"/>
    </row>
    <row r="99">
      <c r="A99" s="107"/>
      <c r="B99" s="107"/>
      <c r="D99" s="134"/>
      <c r="P99" s="134"/>
      <c r="Q99" s="134"/>
      <c r="R99" s="134"/>
    </row>
    <row r="100">
      <c r="A100" s="107"/>
      <c r="B100" s="107"/>
      <c r="D100" s="134"/>
      <c r="P100" s="134"/>
      <c r="Q100" s="134"/>
      <c r="R100" s="134"/>
    </row>
    <row r="101">
      <c r="A101" s="107"/>
      <c r="B101" s="107"/>
      <c r="D101" s="134"/>
      <c r="P101" s="134"/>
      <c r="Q101" s="134"/>
      <c r="R101" s="134"/>
    </row>
    <row r="102">
      <c r="A102" s="107"/>
      <c r="B102" s="107"/>
      <c r="D102" s="134"/>
      <c r="P102" s="134"/>
      <c r="Q102" s="134"/>
      <c r="R102" s="134"/>
    </row>
    <row r="103">
      <c r="A103" s="107"/>
      <c r="B103" s="107"/>
      <c r="D103" s="134"/>
      <c r="P103" s="134"/>
      <c r="Q103" s="134"/>
      <c r="R103" s="134"/>
    </row>
    <row r="104">
      <c r="A104" s="107"/>
      <c r="B104" s="107"/>
      <c r="D104" s="134"/>
      <c r="P104" s="134"/>
      <c r="Q104" s="134"/>
      <c r="R104" s="134"/>
    </row>
    <row r="105">
      <c r="A105" s="107"/>
      <c r="B105" s="107"/>
      <c r="D105" s="134"/>
      <c r="P105" s="134"/>
      <c r="Q105" s="134"/>
      <c r="R105" s="134"/>
    </row>
    <row r="106">
      <c r="A106" s="107"/>
      <c r="B106" s="107"/>
      <c r="D106" s="134"/>
      <c r="P106" s="134"/>
      <c r="Q106" s="134"/>
      <c r="R106" s="134"/>
    </row>
    <row r="107">
      <c r="A107" s="107"/>
      <c r="B107" s="107"/>
      <c r="D107" s="134"/>
      <c r="P107" s="134"/>
      <c r="Q107" s="134"/>
      <c r="R107" s="134"/>
    </row>
    <row r="108">
      <c r="A108" s="107"/>
      <c r="B108" s="107"/>
      <c r="D108" s="134"/>
      <c r="P108" s="134"/>
      <c r="Q108" s="134"/>
      <c r="R108" s="134"/>
    </row>
    <row r="109">
      <c r="A109" s="107"/>
      <c r="B109" s="107"/>
      <c r="D109" s="134"/>
      <c r="P109" s="134"/>
      <c r="Q109" s="134"/>
      <c r="R109" s="134"/>
    </row>
    <row r="110">
      <c r="A110" s="107"/>
      <c r="B110" s="107"/>
      <c r="D110" s="134"/>
      <c r="P110" s="134"/>
      <c r="Q110" s="134"/>
      <c r="R110" s="134"/>
    </row>
    <row r="111">
      <c r="A111" s="107"/>
      <c r="B111" s="107"/>
      <c r="D111" s="134"/>
      <c r="P111" s="134"/>
      <c r="Q111" s="134"/>
      <c r="R111" s="134"/>
    </row>
    <row r="112">
      <c r="A112" s="107"/>
      <c r="B112" s="107"/>
      <c r="D112" s="134"/>
      <c r="P112" s="134"/>
      <c r="Q112" s="134"/>
      <c r="R112" s="134"/>
    </row>
    <row r="113">
      <c r="A113" s="107"/>
      <c r="B113" s="107"/>
      <c r="D113" s="134"/>
      <c r="P113" s="134"/>
      <c r="Q113" s="134"/>
      <c r="R113" s="134"/>
    </row>
    <row r="114">
      <c r="A114" s="107"/>
      <c r="B114" s="107"/>
      <c r="D114" s="134"/>
      <c r="P114" s="134"/>
      <c r="Q114" s="134"/>
      <c r="R114" s="134"/>
    </row>
    <row r="115">
      <c r="A115" s="107"/>
      <c r="B115" s="107"/>
      <c r="D115" s="134"/>
      <c r="P115" s="134"/>
      <c r="Q115" s="134"/>
      <c r="R115" s="134"/>
    </row>
    <row r="116">
      <c r="A116" s="107"/>
      <c r="B116" s="107"/>
      <c r="D116" s="134"/>
      <c r="P116" s="134"/>
      <c r="Q116" s="134"/>
      <c r="R116" s="134"/>
    </row>
    <row r="117">
      <c r="A117" s="107"/>
      <c r="B117" s="107"/>
      <c r="D117" s="134"/>
      <c r="P117" s="134"/>
      <c r="Q117" s="134"/>
      <c r="R117" s="134"/>
    </row>
    <row r="118">
      <c r="A118" s="107"/>
      <c r="B118" s="107"/>
      <c r="D118" s="134"/>
      <c r="P118" s="134"/>
      <c r="Q118" s="134"/>
      <c r="R118" s="134"/>
    </row>
    <row r="119">
      <c r="A119" s="107"/>
      <c r="B119" s="107"/>
      <c r="D119" s="134"/>
      <c r="P119" s="134"/>
      <c r="Q119" s="134"/>
      <c r="R119" s="134"/>
    </row>
    <row r="120">
      <c r="A120" s="107"/>
      <c r="B120" s="107"/>
      <c r="D120" s="134"/>
      <c r="P120" s="134"/>
      <c r="Q120" s="134"/>
      <c r="R120" s="134"/>
    </row>
    <row r="121">
      <c r="A121" s="107"/>
      <c r="B121" s="107"/>
      <c r="D121" s="134"/>
      <c r="P121" s="134"/>
      <c r="Q121" s="134"/>
      <c r="R121" s="134"/>
    </row>
    <row r="122">
      <c r="A122" s="107"/>
      <c r="B122" s="107"/>
      <c r="D122" s="134"/>
      <c r="P122" s="134"/>
      <c r="Q122" s="134"/>
      <c r="R122" s="134"/>
    </row>
    <row r="123">
      <c r="A123" s="107"/>
      <c r="B123" s="107"/>
      <c r="D123" s="134"/>
      <c r="P123" s="134"/>
      <c r="Q123" s="134"/>
      <c r="R123" s="134"/>
    </row>
    <row r="124">
      <c r="A124" s="107"/>
      <c r="B124" s="107"/>
      <c r="D124" s="134"/>
      <c r="P124" s="134"/>
      <c r="Q124" s="134"/>
      <c r="R124" s="134"/>
    </row>
    <row r="125">
      <c r="A125" s="107"/>
      <c r="B125" s="107"/>
      <c r="D125" s="134"/>
      <c r="P125" s="134"/>
      <c r="Q125" s="134"/>
      <c r="R125" s="134"/>
    </row>
    <row r="126">
      <c r="A126" s="107"/>
      <c r="B126" s="107"/>
      <c r="D126" s="134"/>
      <c r="P126" s="134"/>
      <c r="Q126" s="134"/>
      <c r="R126" s="134"/>
    </row>
    <row r="127">
      <c r="A127" s="107"/>
      <c r="B127" s="107"/>
      <c r="D127" s="134"/>
      <c r="P127" s="134"/>
      <c r="Q127" s="134"/>
      <c r="R127" s="134"/>
    </row>
    <row r="128">
      <c r="A128" s="107"/>
      <c r="B128" s="107"/>
      <c r="D128" s="134"/>
      <c r="P128" s="134"/>
      <c r="Q128" s="134"/>
      <c r="R128" s="134"/>
    </row>
    <row r="129">
      <c r="A129" s="107"/>
      <c r="B129" s="107"/>
      <c r="D129" s="134"/>
      <c r="P129" s="134"/>
      <c r="Q129" s="134"/>
      <c r="R129" s="134"/>
    </row>
    <row r="130">
      <c r="A130" s="107"/>
      <c r="B130" s="107"/>
      <c r="D130" s="134"/>
      <c r="P130" s="134"/>
      <c r="Q130" s="134"/>
      <c r="R130" s="134"/>
    </row>
    <row r="131">
      <c r="A131" s="107"/>
      <c r="B131" s="107"/>
      <c r="D131" s="134"/>
      <c r="P131" s="134"/>
      <c r="Q131" s="134"/>
      <c r="R131" s="134"/>
    </row>
    <row r="132">
      <c r="A132" s="107"/>
      <c r="B132" s="107"/>
      <c r="D132" s="134"/>
      <c r="P132" s="134"/>
      <c r="Q132" s="134"/>
      <c r="R132" s="134"/>
    </row>
    <row r="133">
      <c r="A133" s="107"/>
      <c r="B133" s="107"/>
      <c r="D133" s="134"/>
      <c r="P133" s="134"/>
      <c r="Q133" s="134"/>
      <c r="R133" s="134"/>
    </row>
    <row r="134">
      <c r="A134" s="107"/>
      <c r="B134" s="107"/>
      <c r="D134" s="134"/>
      <c r="P134" s="134"/>
      <c r="Q134" s="134"/>
      <c r="R134" s="134"/>
    </row>
    <row r="135">
      <c r="A135" s="107"/>
      <c r="B135" s="107"/>
      <c r="D135" s="134"/>
      <c r="P135" s="134"/>
      <c r="Q135" s="134"/>
      <c r="R135" s="134"/>
    </row>
    <row r="136">
      <c r="A136" s="107"/>
      <c r="B136" s="107"/>
      <c r="D136" s="134"/>
      <c r="P136" s="134"/>
      <c r="Q136" s="134"/>
      <c r="R136" s="134"/>
    </row>
    <row r="137">
      <c r="A137" s="107"/>
      <c r="B137" s="107"/>
      <c r="D137" s="134"/>
      <c r="P137" s="134"/>
      <c r="Q137" s="134"/>
      <c r="R137" s="134"/>
    </row>
    <row r="138">
      <c r="A138" s="107"/>
      <c r="B138" s="107"/>
      <c r="D138" s="134"/>
      <c r="P138" s="134"/>
      <c r="Q138" s="134"/>
      <c r="R138" s="134"/>
    </row>
    <row r="139">
      <c r="A139" s="107"/>
      <c r="B139" s="107"/>
      <c r="D139" s="134"/>
      <c r="P139" s="134"/>
      <c r="Q139" s="134"/>
      <c r="R139" s="134"/>
    </row>
    <row r="140">
      <c r="A140" s="107"/>
      <c r="B140" s="107"/>
      <c r="D140" s="134"/>
      <c r="P140" s="134"/>
      <c r="Q140" s="134"/>
      <c r="R140" s="134"/>
    </row>
    <row r="141">
      <c r="A141" s="107"/>
      <c r="B141" s="107"/>
      <c r="D141" s="134"/>
      <c r="P141" s="134"/>
      <c r="Q141" s="134"/>
      <c r="R141" s="134"/>
    </row>
    <row r="142">
      <c r="A142" s="107"/>
      <c r="B142" s="107"/>
      <c r="D142" s="134"/>
      <c r="P142" s="134"/>
      <c r="Q142" s="134"/>
      <c r="R142" s="134"/>
    </row>
    <row r="143">
      <c r="A143" s="107"/>
      <c r="B143" s="107"/>
      <c r="D143" s="134"/>
      <c r="P143" s="134"/>
      <c r="Q143" s="134"/>
      <c r="R143" s="134"/>
    </row>
    <row r="144">
      <c r="A144" s="107"/>
      <c r="B144" s="107"/>
      <c r="D144" s="134"/>
      <c r="P144" s="134"/>
      <c r="Q144" s="134"/>
      <c r="R144" s="134"/>
    </row>
    <row r="145">
      <c r="A145" s="107"/>
      <c r="B145" s="107"/>
      <c r="D145" s="134"/>
      <c r="P145" s="134"/>
      <c r="Q145" s="134"/>
      <c r="R145" s="134"/>
    </row>
    <row r="146">
      <c r="A146" s="107"/>
      <c r="B146" s="107"/>
      <c r="D146" s="134"/>
      <c r="P146" s="134"/>
      <c r="Q146" s="134"/>
      <c r="R146" s="134"/>
    </row>
    <row r="147">
      <c r="A147" s="107"/>
      <c r="B147" s="107"/>
      <c r="D147" s="134"/>
      <c r="P147" s="134"/>
      <c r="Q147" s="134"/>
      <c r="R147" s="134"/>
    </row>
    <row r="148">
      <c r="A148" s="107"/>
      <c r="B148" s="107"/>
      <c r="D148" s="134"/>
      <c r="P148" s="134"/>
      <c r="Q148" s="134"/>
      <c r="R148" s="134"/>
    </row>
    <row r="149">
      <c r="A149" s="107"/>
      <c r="B149" s="107"/>
      <c r="D149" s="134"/>
      <c r="P149" s="134"/>
      <c r="Q149" s="134"/>
      <c r="R149" s="134"/>
    </row>
    <row r="150">
      <c r="A150" s="107"/>
      <c r="B150" s="107"/>
      <c r="D150" s="134"/>
      <c r="P150" s="134"/>
      <c r="Q150" s="134"/>
      <c r="R150" s="134"/>
    </row>
    <row r="151">
      <c r="A151" s="107"/>
      <c r="B151" s="107"/>
      <c r="D151" s="134"/>
      <c r="P151" s="134"/>
      <c r="Q151" s="134"/>
      <c r="R151" s="134"/>
    </row>
    <row r="152">
      <c r="A152" s="107"/>
      <c r="B152" s="107"/>
      <c r="D152" s="134"/>
      <c r="P152" s="134"/>
      <c r="Q152" s="134"/>
      <c r="R152" s="134"/>
    </row>
    <row r="153">
      <c r="A153" s="107"/>
      <c r="B153" s="107"/>
      <c r="D153" s="134"/>
      <c r="P153" s="134"/>
      <c r="Q153" s="134"/>
      <c r="R153" s="134"/>
    </row>
    <row r="154">
      <c r="A154" s="107"/>
      <c r="B154" s="107"/>
      <c r="D154" s="134"/>
      <c r="P154" s="134"/>
      <c r="Q154" s="134"/>
      <c r="R154" s="134"/>
    </row>
    <row r="155">
      <c r="A155" s="107"/>
      <c r="B155" s="107"/>
      <c r="D155" s="134"/>
      <c r="P155" s="134"/>
      <c r="Q155" s="134"/>
      <c r="R155" s="134"/>
    </row>
    <row r="156">
      <c r="A156" s="107"/>
      <c r="B156" s="107"/>
      <c r="D156" s="134"/>
      <c r="P156" s="134"/>
      <c r="Q156" s="134"/>
      <c r="R156" s="134"/>
    </row>
    <row r="157">
      <c r="A157" s="107"/>
      <c r="B157" s="107"/>
      <c r="D157" s="134"/>
      <c r="P157" s="134"/>
      <c r="Q157" s="134"/>
      <c r="R157" s="134"/>
    </row>
    <row r="158">
      <c r="A158" s="107"/>
      <c r="B158" s="107"/>
      <c r="D158" s="134"/>
      <c r="P158" s="134"/>
      <c r="Q158" s="134"/>
      <c r="R158" s="134"/>
    </row>
    <row r="159">
      <c r="A159" s="107"/>
      <c r="B159" s="107"/>
      <c r="D159" s="134"/>
      <c r="P159" s="134"/>
      <c r="Q159" s="134"/>
      <c r="R159" s="134"/>
    </row>
    <row r="160">
      <c r="A160" s="107"/>
      <c r="B160" s="107"/>
      <c r="D160" s="134"/>
      <c r="P160" s="134"/>
      <c r="Q160" s="134"/>
      <c r="R160" s="134"/>
    </row>
    <row r="161">
      <c r="A161" s="107"/>
      <c r="B161" s="107"/>
      <c r="D161" s="134"/>
      <c r="P161" s="134"/>
      <c r="Q161" s="134"/>
      <c r="R161" s="134"/>
    </row>
    <row r="162">
      <c r="A162" s="107"/>
      <c r="B162" s="107"/>
      <c r="D162" s="134"/>
      <c r="P162" s="134"/>
      <c r="Q162" s="134"/>
      <c r="R162" s="134"/>
    </row>
    <row r="163">
      <c r="A163" s="107"/>
      <c r="B163" s="107"/>
      <c r="D163" s="134"/>
      <c r="P163" s="134"/>
      <c r="Q163" s="134"/>
      <c r="R163" s="134"/>
    </row>
    <row r="164">
      <c r="A164" s="107"/>
      <c r="B164" s="107"/>
      <c r="D164" s="134"/>
      <c r="P164" s="134"/>
      <c r="Q164" s="134"/>
      <c r="R164" s="134"/>
    </row>
    <row r="165">
      <c r="A165" s="107"/>
      <c r="B165" s="107"/>
      <c r="D165" s="134"/>
      <c r="P165" s="134"/>
      <c r="Q165" s="134"/>
      <c r="R165" s="134"/>
    </row>
    <row r="166">
      <c r="A166" s="107"/>
      <c r="B166" s="107"/>
      <c r="D166" s="134"/>
      <c r="P166" s="134"/>
      <c r="Q166" s="134"/>
      <c r="R166" s="134"/>
    </row>
    <row r="167">
      <c r="A167" s="107"/>
      <c r="B167" s="107"/>
      <c r="D167" s="134"/>
      <c r="P167" s="134"/>
      <c r="Q167" s="134"/>
      <c r="R167" s="134"/>
    </row>
    <row r="168">
      <c r="A168" s="107"/>
      <c r="B168" s="107"/>
      <c r="D168" s="134"/>
      <c r="P168" s="134"/>
      <c r="Q168" s="134"/>
      <c r="R168" s="134"/>
    </row>
    <row r="169">
      <c r="A169" s="107"/>
      <c r="B169" s="107"/>
      <c r="D169" s="134"/>
      <c r="P169" s="134"/>
      <c r="Q169" s="134"/>
      <c r="R169" s="134"/>
    </row>
    <row r="170">
      <c r="A170" s="107"/>
      <c r="B170" s="107"/>
      <c r="D170" s="134"/>
      <c r="P170" s="134"/>
      <c r="Q170" s="134"/>
      <c r="R170" s="134"/>
    </row>
    <row r="171">
      <c r="A171" s="107"/>
      <c r="B171" s="107"/>
      <c r="D171" s="134"/>
      <c r="P171" s="134"/>
      <c r="Q171" s="134"/>
      <c r="R171" s="134"/>
    </row>
    <row r="172">
      <c r="A172" s="107"/>
      <c r="B172" s="107"/>
      <c r="D172" s="134"/>
      <c r="P172" s="134"/>
      <c r="Q172" s="134"/>
      <c r="R172" s="134"/>
    </row>
    <row r="173">
      <c r="A173" s="107"/>
      <c r="B173" s="107"/>
      <c r="D173" s="134"/>
      <c r="P173" s="134"/>
      <c r="Q173" s="134"/>
      <c r="R173" s="134"/>
    </row>
    <row r="174">
      <c r="A174" s="107"/>
      <c r="B174" s="107"/>
      <c r="D174" s="134"/>
      <c r="P174" s="134"/>
      <c r="Q174" s="134"/>
      <c r="R174" s="134"/>
    </row>
    <row r="175">
      <c r="A175" s="107"/>
      <c r="B175" s="107"/>
      <c r="D175" s="134"/>
      <c r="P175" s="134"/>
      <c r="Q175" s="134"/>
      <c r="R175" s="134"/>
    </row>
    <row r="176">
      <c r="A176" s="107"/>
      <c r="B176" s="107"/>
      <c r="D176" s="134"/>
      <c r="P176" s="134"/>
      <c r="Q176" s="134"/>
      <c r="R176" s="134"/>
    </row>
    <row r="177">
      <c r="A177" s="107"/>
      <c r="B177" s="107"/>
      <c r="D177" s="134"/>
      <c r="P177" s="134"/>
      <c r="Q177" s="134"/>
      <c r="R177" s="134"/>
    </row>
    <row r="178">
      <c r="A178" s="107"/>
      <c r="B178" s="107"/>
      <c r="D178" s="134"/>
      <c r="P178" s="134"/>
      <c r="Q178" s="134"/>
      <c r="R178" s="134"/>
    </row>
    <row r="179">
      <c r="A179" s="107"/>
      <c r="B179" s="107"/>
      <c r="D179" s="134"/>
      <c r="P179" s="134"/>
      <c r="Q179" s="134"/>
      <c r="R179" s="134"/>
    </row>
    <row r="180">
      <c r="A180" s="107"/>
      <c r="B180" s="107"/>
      <c r="D180" s="134"/>
      <c r="P180" s="134"/>
      <c r="Q180" s="134"/>
      <c r="R180" s="134"/>
    </row>
    <row r="181">
      <c r="A181" s="107"/>
      <c r="B181" s="107"/>
      <c r="D181" s="134"/>
      <c r="P181" s="134"/>
      <c r="Q181" s="134"/>
      <c r="R181" s="134"/>
    </row>
    <row r="182">
      <c r="A182" s="107"/>
      <c r="B182" s="107"/>
      <c r="D182" s="134"/>
      <c r="P182" s="134"/>
      <c r="Q182" s="134"/>
      <c r="R182" s="134"/>
    </row>
    <row r="183">
      <c r="A183" s="107"/>
      <c r="B183" s="107"/>
      <c r="D183" s="134"/>
      <c r="P183" s="134"/>
      <c r="Q183" s="134"/>
      <c r="R183" s="134"/>
    </row>
    <row r="184">
      <c r="A184" s="107"/>
      <c r="B184" s="107"/>
      <c r="D184" s="134"/>
      <c r="P184" s="134"/>
      <c r="Q184" s="134"/>
      <c r="R184" s="134"/>
    </row>
    <row r="185">
      <c r="A185" s="107"/>
      <c r="B185" s="107"/>
      <c r="D185" s="134"/>
      <c r="P185" s="134"/>
      <c r="Q185" s="134"/>
      <c r="R185" s="134"/>
    </row>
    <row r="186">
      <c r="A186" s="107"/>
      <c r="B186" s="107"/>
      <c r="D186" s="134"/>
      <c r="P186" s="134"/>
      <c r="Q186" s="134"/>
      <c r="R186" s="134"/>
    </row>
    <row r="187">
      <c r="A187" s="107"/>
      <c r="B187" s="107"/>
      <c r="D187" s="134"/>
      <c r="P187" s="134"/>
      <c r="Q187" s="134"/>
      <c r="R187" s="134"/>
    </row>
    <row r="188">
      <c r="A188" s="107"/>
      <c r="B188" s="107"/>
      <c r="D188" s="134"/>
      <c r="P188" s="134"/>
      <c r="Q188" s="134"/>
      <c r="R188" s="134"/>
    </row>
    <row r="189">
      <c r="A189" s="107"/>
      <c r="B189" s="107"/>
      <c r="D189" s="134"/>
      <c r="P189" s="134"/>
      <c r="Q189" s="134"/>
      <c r="R189" s="134"/>
    </row>
    <row r="190">
      <c r="A190" s="107"/>
      <c r="B190" s="107"/>
      <c r="D190" s="134"/>
      <c r="P190" s="134"/>
      <c r="Q190" s="134"/>
      <c r="R190" s="134"/>
    </row>
    <row r="191">
      <c r="A191" s="107"/>
      <c r="B191" s="107"/>
      <c r="D191" s="134"/>
      <c r="P191" s="134"/>
      <c r="Q191" s="134"/>
      <c r="R191" s="134"/>
    </row>
    <row r="192">
      <c r="A192" s="107"/>
      <c r="B192" s="107"/>
      <c r="D192" s="134"/>
      <c r="P192" s="134"/>
      <c r="Q192" s="134"/>
      <c r="R192" s="134"/>
    </row>
    <row r="193">
      <c r="A193" s="107"/>
      <c r="B193" s="107"/>
      <c r="D193" s="134"/>
      <c r="P193" s="134"/>
      <c r="Q193" s="134"/>
      <c r="R193" s="134"/>
    </row>
    <row r="194">
      <c r="A194" s="107"/>
      <c r="B194" s="107"/>
      <c r="D194" s="134"/>
      <c r="P194" s="134"/>
      <c r="Q194" s="134"/>
      <c r="R194" s="134"/>
    </row>
    <row r="195">
      <c r="A195" s="107"/>
      <c r="B195" s="107"/>
      <c r="D195" s="134"/>
      <c r="P195" s="134"/>
      <c r="Q195" s="134"/>
      <c r="R195" s="134"/>
    </row>
    <row r="196">
      <c r="A196" s="107"/>
      <c r="B196" s="107"/>
      <c r="D196" s="134"/>
      <c r="P196" s="134"/>
      <c r="Q196" s="134"/>
      <c r="R196" s="134"/>
    </row>
    <row r="197">
      <c r="A197" s="107"/>
      <c r="B197" s="107"/>
      <c r="D197" s="134"/>
      <c r="P197" s="134"/>
      <c r="Q197" s="134"/>
      <c r="R197" s="134"/>
    </row>
    <row r="198">
      <c r="A198" s="107"/>
      <c r="B198" s="107"/>
      <c r="D198" s="134"/>
      <c r="P198" s="134"/>
      <c r="Q198" s="134"/>
      <c r="R198" s="134"/>
    </row>
    <row r="199">
      <c r="A199" s="107"/>
      <c r="B199" s="107"/>
      <c r="D199" s="134"/>
      <c r="P199" s="134"/>
      <c r="Q199" s="134"/>
      <c r="R199" s="134"/>
    </row>
    <row r="200">
      <c r="A200" s="107"/>
      <c r="B200" s="107"/>
      <c r="D200" s="134"/>
      <c r="P200" s="134"/>
      <c r="Q200" s="134"/>
      <c r="R200" s="134"/>
    </row>
    <row r="201">
      <c r="A201" s="107"/>
      <c r="B201" s="107"/>
      <c r="D201" s="134"/>
      <c r="P201" s="134"/>
      <c r="Q201" s="134"/>
      <c r="R201" s="134"/>
    </row>
    <row r="202">
      <c r="A202" s="107"/>
      <c r="B202" s="107"/>
      <c r="D202" s="134"/>
      <c r="P202" s="134"/>
      <c r="Q202" s="134"/>
      <c r="R202" s="134"/>
    </row>
    <row r="203">
      <c r="A203" s="107"/>
      <c r="B203" s="107"/>
      <c r="D203" s="134"/>
      <c r="P203" s="134"/>
      <c r="Q203" s="134"/>
      <c r="R203" s="134"/>
    </row>
    <row r="204">
      <c r="A204" s="107"/>
      <c r="B204" s="107"/>
      <c r="D204" s="134"/>
      <c r="P204" s="134"/>
      <c r="Q204" s="134"/>
      <c r="R204" s="134"/>
    </row>
    <row r="205">
      <c r="A205" s="107"/>
      <c r="B205" s="107"/>
      <c r="D205" s="134"/>
      <c r="P205" s="134"/>
      <c r="Q205" s="134"/>
      <c r="R205" s="134"/>
    </row>
    <row r="206">
      <c r="A206" s="107"/>
      <c r="B206" s="107"/>
      <c r="D206" s="134"/>
      <c r="P206" s="134"/>
      <c r="Q206" s="134"/>
      <c r="R206" s="134"/>
    </row>
    <row r="207">
      <c r="A207" s="107"/>
      <c r="B207" s="107"/>
      <c r="D207" s="134"/>
      <c r="P207" s="134"/>
      <c r="Q207" s="134"/>
      <c r="R207" s="134"/>
    </row>
    <row r="208">
      <c r="A208" s="107"/>
      <c r="B208" s="107"/>
      <c r="D208" s="134"/>
      <c r="P208" s="134"/>
      <c r="Q208" s="134"/>
      <c r="R208" s="134"/>
    </row>
    <row r="209">
      <c r="A209" s="107"/>
      <c r="B209" s="107"/>
      <c r="D209" s="134"/>
      <c r="P209" s="134"/>
      <c r="Q209" s="134"/>
      <c r="R209" s="134"/>
    </row>
    <row r="210">
      <c r="A210" s="107"/>
      <c r="B210" s="107"/>
      <c r="D210" s="134"/>
      <c r="P210" s="134"/>
      <c r="Q210" s="134"/>
      <c r="R210" s="134"/>
    </row>
    <row r="211">
      <c r="A211" s="107"/>
      <c r="B211" s="107"/>
      <c r="D211" s="134"/>
      <c r="P211" s="134"/>
      <c r="Q211" s="134"/>
      <c r="R211" s="134"/>
    </row>
    <row r="212">
      <c r="A212" s="107"/>
      <c r="B212" s="107"/>
      <c r="D212" s="134"/>
      <c r="P212" s="134"/>
      <c r="Q212" s="134"/>
      <c r="R212" s="134"/>
    </row>
    <row r="213">
      <c r="A213" s="107"/>
      <c r="B213" s="107"/>
      <c r="D213" s="134"/>
      <c r="P213" s="134"/>
      <c r="Q213" s="134"/>
      <c r="R213" s="134"/>
    </row>
    <row r="214">
      <c r="A214" s="107"/>
      <c r="B214" s="107"/>
      <c r="D214" s="134"/>
      <c r="P214" s="134"/>
      <c r="Q214" s="134"/>
      <c r="R214" s="134"/>
    </row>
    <row r="215">
      <c r="A215" s="107"/>
      <c r="B215" s="107"/>
      <c r="D215" s="134"/>
      <c r="P215" s="134"/>
      <c r="Q215" s="134"/>
      <c r="R215" s="134"/>
    </row>
    <row r="216">
      <c r="A216" s="107"/>
      <c r="B216" s="107"/>
      <c r="D216" s="134"/>
      <c r="P216" s="134"/>
      <c r="Q216" s="134"/>
      <c r="R216" s="134"/>
    </row>
    <row r="217">
      <c r="A217" s="107"/>
      <c r="B217" s="107"/>
      <c r="D217" s="134"/>
      <c r="P217" s="134"/>
      <c r="Q217" s="134"/>
      <c r="R217" s="134"/>
    </row>
    <row r="218">
      <c r="A218" s="107"/>
      <c r="B218" s="107"/>
      <c r="D218" s="134"/>
      <c r="P218" s="134"/>
      <c r="Q218" s="134"/>
      <c r="R218" s="134"/>
    </row>
    <row r="219">
      <c r="A219" s="107"/>
      <c r="B219" s="107"/>
      <c r="D219" s="134"/>
      <c r="P219" s="134"/>
      <c r="Q219" s="134"/>
      <c r="R219" s="134"/>
    </row>
    <row r="220">
      <c r="A220" s="107"/>
      <c r="B220" s="107"/>
      <c r="D220" s="134"/>
      <c r="P220" s="134"/>
      <c r="Q220" s="134"/>
      <c r="R220" s="134"/>
    </row>
    <row r="221">
      <c r="A221" s="107"/>
      <c r="B221" s="107"/>
      <c r="D221" s="134"/>
      <c r="P221" s="134"/>
      <c r="Q221" s="134"/>
      <c r="R221" s="134"/>
    </row>
    <row r="222">
      <c r="A222" s="107"/>
      <c r="B222" s="107"/>
      <c r="D222" s="134"/>
      <c r="P222" s="134"/>
      <c r="Q222" s="134"/>
      <c r="R222" s="134"/>
    </row>
    <row r="223">
      <c r="A223" s="107"/>
      <c r="B223" s="107"/>
      <c r="D223" s="134"/>
      <c r="P223" s="134"/>
      <c r="Q223" s="134"/>
      <c r="R223" s="134"/>
    </row>
    <row r="224">
      <c r="A224" s="107"/>
      <c r="B224" s="107"/>
      <c r="D224" s="134"/>
      <c r="P224" s="134"/>
      <c r="Q224" s="134"/>
      <c r="R224" s="134"/>
    </row>
    <row r="225">
      <c r="A225" s="107"/>
      <c r="B225" s="107"/>
      <c r="D225" s="134"/>
      <c r="P225" s="134"/>
      <c r="Q225" s="134"/>
      <c r="R225" s="134"/>
    </row>
    <row r="226">
      <c r="A226" s="107"/>
      <c r="B226" s="107"/>
      <c r="D226" s="134"/>
      <c r="P226" s="134"/>
      <c r="Q226" s="134"/>
      <c r="R226" s="134"/>
    </row>
    <row r="227">
      <c r="A227" s="107"/>
      <c r="B227" s="107"/>
      <c r="D227" s="134"/>
      <c r="P227" s="134"/>
      <c r="Q227" s="134"/>
      <c r="R227" s="134"/>
    </row>
    <row r="228">
      <c r="A228" s="107"/>
      <c r="B228" s="107"/>
      <c r="D228" s="134"/>
      <c r="P228" s="134"/>
      <c r="Q228" s="134"/>
      <c r="R228" s="134"/>
    </row>
    <row r="229">
      <c r="A229" s="107"/>
      <c r="B229" s="107"/>
      <c r="D229" s="134"/>
      <c r="P229" s="134"/>
      <c r="Q229" s="134"/>
      <c r="R229" s="134"/>
    </row>
    <row r="230">
      <c r="A230" s="107"/>
      <c r="B230" s="107"/>
      <c r="D230" s="134"/>
      <c r="P230" s="134"/>
      <c r="Q230" s="134"/>
      <c r="R230" s="134"/>
    </row>
    <row r="231">
      <c r="A231" s="107"/>
      <c r="B231" s="107"/>
      <c r="D231" s="134"/>
      <c r="P231" s="134"/>
      <c r="Q231" s="134"/>
      <c r="R231" s="134"/>
    </row>
    <row r="232">
      <c r="A232" s="107"/>
      <c r="B232" s="107"/>
      <c r="D232" s="134"/>
      <c r="P232" s="134"/>
      <c r="Q232" s="134"/>
      <c r="R232" s="134"/>
    </row>
    <row r="233">
      <c r="A233" s="107"/>
      <c r="B233" s="107"/>
      <c r="D233" s="134"/>
      <c r="P233" s="134"/>
      <c r="Q233" s="134"/>
      <c r="R233" s="134"/>
    </row>
    <row r="234">
      <c r="A234" s="107"/>
      <c r="B234" s="107"/>
      <c r="D234" s="134"/>
      <c r="P234" s="134"/>
      <c r="Q234" s="134"/>
      <c r="R234" s="134"/>
    </row>
    <row r="235">
      <c r="A235" s="107"/>
      <c r="B235" s="107"/>
      <c r="D235" s="134"/>
      <c r="P235" s="134"/>
      <c r="Q235" s="134"/>
      <c r="R235" s="134"/>
    </row>
    <row r="236">
      <c r="A236" s="107"/>
      <c r="B236" s="107"/>
      <c r="D236" s="134"/>
      <c r="P236" s="134"/>
      <c r="Q236" s="134"/>
      <c r="R236" s="134"/>
    </row>
    <row r="237">
      <c r="A237" s="107"/>
      <c r="B237" s="107"/>
      <c r="D237" s="134"/>
      <c r="P237" s="134"/>
      <c r="Q237" s="134"/>
      <c r="R237" s="134"/>
    </row>
    <row r="238">
      <c r="A238" s="107"/>
      <c r="B238" s="107"/>
      <c r="D238" s="134"/>
      <c r="P238" s="134"/>
      <c r="Q238" s="134"/>
      <c r="R238" s="134"/>
    </row>
    <row r="239">
      <c r="A239" s="107"/>
      <c r="B239" s="107"/>
      <c r="D239" s="134"/>
      <c r="P239" s="134"/>
      <c r="Q239" s="134"/>
      <c r="R239" s="134"/>
    </row>
    <row r="240">
      <c r="A240" s="107"/>
      <c r="B240" s="107"/>
      <c r="D240" s="134"/>
      <c r="P240" s="134"/>
      <c r="Q240" s="134"/>
      <c r="R240" s="134"/>
    </row>
    <row r="241">
      <c r="A241" s="107"/>
      <c r="B241" s="107"/>
      <c r="D241" s="134"/>
      <c r="P241" s="134"/>
      <c r="Q241" s="134"/>
      <c r="R241" s="134"/>
    </row>
    <row r="242">
      <c r="A242" s="107"/>
      <c r="B242" s="107"/>
      <c r="D242" s="134"/>
      <c r="P242" s="134"/>
      <c r="Q242" s="134"/>
      <c r="R242" s="134"/>
    </row>
    <row r="243">
      <c r="A243" s="107"/>
      <c r="B243" s="107"/>
      <c r="D243" s="134"/>
      <c r="P243" s="134"/>
      <c r="Q243" s="134"/>
      <c r="R243" s="134"/>
    </row>
    <row r="244">
      <c r="A244" s="107"/>
      <c r="B244" s="107"/>
      <c r="D244" s="134"/>
      <c r="P244" s="134"/>
      <c r="Q244" s="134"/>
      <c r="R244" s="134"/>
    </row>
    <row r="245">
      <c r="A245" s="107"/>
      <c r="B245" s="107"/>
      <c r="D245" s="134"/>
      <c r="P245" s="134"/>
      <c r="Q245" s="134"/>
      <c r="R245" s="134"/>
    </row>
    <row r="246">
      <c r="A246" s="107"/>
      <c r="B246" s="107"/>
      <c r="D246" s="134"/>
      <c r="P246" s="134"/>
      <c r="Q246" s="134"/>
      <c r="R246" s="134"/>
    </row>
    <row r="247">
      <c r="A247" s="107"/>
      <c r="B247" s="107"/>
      <c r="D247" s="134"/>
      <c r="P247" s="134"/>
      <c r="Q247" s="134"/>
      <c r="R247" s="134"/>
    </row>
    <row r="248">
      <c r="A248" s="107"/>
      <c r="B248" s="107"/>
      <c r="D248" s="134"/>
      <c r="P248" s="134"/>
      <c r="Q248" s="134"/>
      <c r="R248" s="134"/>
    </row>
    <row r="249">
      <c r="A249" s="107"/>
      <c r="B249" s="107"/>
      <c r="D249" s="134"/>
      <c r="P249" s="134"/>
      <c r="Q249" s="134"/>
      <c r="R249" s="134"/>
    </row>
    <row r="250">
      <c r="A250" s="107"/>
      <c r="B250" s="107"/>
      <c r="D250" s="134"/>
      <c r="P250" s="134"/>
      <c r="Q250" s="134"/>
      <c r="R250" s="134"/>
    </row>
    <row r="251">
      <c r="A251" s="107"/>
      <c r="B251" s="107"/>
      <c r="D251" s="134"/>
      <c r="P251" s="134"/>
      <c r="Q251" s="134"/>
      <c r="R251" s="134"/>
    </row>
    <row r="252">
      <c r="A252" s="107"/>
      <c r="B252" s="107"/>
      <c r="D252" s="134"/>
      <c r="P252" s="134"/>
      <c r="Q252" s="134"/>
      <c r="R252" s="134"/>
    </row>
    <row r="253">
      <c r="A253" s="107"/>
      <c r="B253" s="107"/>
      <c r="D253" s="134"/>
      <c r="P253" s="134"/>
      <c r="Q253" s="134"/>
      <c r="R253" s="134"/>
    </row>
    <row r="254">
      <c r="A254" s="107"/>
      <c r="B254" s="107"/>
      <c r="D254" s="134"/>
      <c r="P254" s="134"/>
      <c r="Q254" s="134"/>
      <c r="R254" s="134"/>
    </row>
    <row r="255">
      <c r="A255" s="107"/>
      <c r="B255" s="107"/>
      <c r="D255" s="134"/>
      <c r="P255" s="134"/>
      <c r="Q255" s="134"/>
      <c r="R255" s="134"/>
    </row>
    <row r="256">
      <c r="A256" s="107"/>
      <c r="B256" s="107"/>
      <c r="D256" s="134"/>
      <c r="P256" s="134"/>
      <c r="Q256" s="134"/>
      <c r="R256" s="134"/>
    </row>
    <row r="257">
      <c r="A257" s="107"/>
      <c r="B257" s="107"/>
      <c r="D257" s="134"/>
      <c r="P257" s="134"/>
      <c r="Q257" s="134"/>
      <c r="R257" s="134"/>
    </row>
    <row r="258">
      <c r="A258" s="107"/>
      <c r="B258" s="107"/>
      <c r="D258" s="134"/>
      <c r="P258" s="134"/>
      <c r="Q258" s="134"/>
      <c r="R258" s="134"/>
    </row>
    <row r="259">
      <c r="A259" s="107"/>
      <c r="B259" s="107"/>
      <c r="D259" s="134"/>
      <c r="P259" s="134"/>
      <c r="Q259" s="134"/>
      <c r="R259" s="134"/>
    </row>
    <row r="260">
      <c r="A260" s="107"/>
      <c r="B260" s="107"/>
      <c r="D260" s="134"/>
      <c r="P260" s="134"/>
      <c r="Q260" s="134"/>
      <c r="R260" s="134"/>
    </row>
    <row r="261">
      <c r="A261" s="107"/>
      <c r="B261" s="107"/>
      <c r="D261" s="134"/>
      <c r="P261" s="134"/>
      <c r="Q261" s="134"/>
      <c r="R261" s="134"/>
    </row>
    <row r="262">
      <c r="A262" s="107"/>
      <c r="B262" s="107"/>
      <c r="D262" s="134"/>
      <c r="P262" s="134"/>
      <c r="Q262" s="134"/>
      <c r="R262" s="134"/>
    </row>
    <row r="263">
      <c r="A263" s="107"/>
      <c r="B263" s="107"/>
      <c r="D263" s="134"/>
      <c r="P263" s="134"/>
      <c r="Q263" s="134"/>
      <c r="R263" s="134"/>
    </row>
    <row r="264">
      <c r="A264" s="107"/>
      <c r="B264" s="107"/>
      <c r="D264" s="134"/>
      <c r="P264" s="134"/>
      <c r="Q264" s="134"/>
      <c r="R264" s="134"/>
    </row>
    <row r="265">
      <c r="A265" s="107"/>
      <c r="B265" s="107"/>
      <c r="D265" s="134"/>
      <c r="P265" s="134"/>
      <c r="Q265" s="134"/>
      <c r="R265" s="134"/>
    </row>
    <row r="266">
      <c r="A266" s="107"/>
      <c r="B266" s="107"/>
      <c r="D266" s="134"/>
      <c r="P266" s="134"/>
      <c r="Q266" s="134"/>
      <c r="R266" s="134"/>
    </row>
    <row r="267">
      <c r="A267" s="107"/>
      <c r="B267" s="107"/>
      <c r="D267" s="134"/>
      <c r="P267" s="134"/>
      <c r="Q267" s="134"/>
      <c r="R267" s="134"/>
    </row>
    <row r="268">
      <c r="A268" s="107"/>
      <c r="B268" s="107"/>
      <c r="D268" s="134"/>
      <c r="P268" s="134"/>
      <c r="Q268" s="134"/>
      <c r="R268" s="134"/>
    </row>
    <row r="269">
      <c r="A269" s="107"/>
      <c r="B269" s="107"/>
      <c r="D269" s="134"/>
      <c r="P269" s="134"/>
      <c r="Q269" s="134"/>
      <c r="R269" s="134"/>
    </row>
    <row r="270">
      <c r="A270" s="107"/>
      <c r="B270" s="107"/>
      <c r="D270" s="134"/>
      <c r="P270" s="134"/>
      <c r="Q270" s="134"/>
      <c r="R270" s="134"/>
    </row>
    <row r="271">
      <c r="A271" s="107"/>
      <c r="B271" s="107"/>
      <c r="D271" s="134"/>
      <c r="P271" s="134"/>
      <c r="Q271" s="134"/>
      <c r="R271" s="134"/>
    </row>
    <row r="272">
      <c r="A272" s="107"/>
      <c r="B272" s="107"/>
      <c r="D272" s="134"/>
      <c r="P272" s="134"/>
      <c r="Q272" s="134"/>
      <c r="R272" s="134"/>
    </row>
    <row r="273">
      <c r="A273" s="107"/>
      <c r="B273" s="107"/>
      <c r="D273" s="134"/>
      <c r="P273" s="134"/>
      <c r="Q273" s="134"/>
      <c r="R273" s="134"/>
    </row>
    <row r="274">
      <c r="A274" s="107"/>
      <c r="B274" s="107"/>
      <c r="D274" s="134"/>
      <c r="P274" s="134"/>
      <c r="Q274" s="134"/>
      <c r="R274" s="134"/>
    </row>
    <row r="275">
      <c r="A275" s="107"/>
      <c r="B275" s="107"/>
      <c r="D275" s="134"/>
      <c r="P275" s="134"/>
      <c r="Q275" s="134"/>
      <c r="R275" s="134"/>
    </row>
    <row r="276">
      <c r="A276" s="107"/>
      <c r="B276" s="107"/>
      <c r="D276" s="134"/>
      <c r="P276" s="134"/>
      <c r="Q276" s="134"/>
      <c r="R276" s="134"/>
    </row>
    <row r="277">
      <c r="A277" s="107"/>
      <c r="B277" s="107"/>
      <c r="D277" s="134"/>
      <c r="P277" s="134"/>
      <c r="Q277" s="134"/>
      <c r="R277" s="134"/>
    </row>
    <row r="278">
      <c r="A278" s="107"/>
      <c r="B278" s="107"/>
      <c r="D278" s="134"/>
      <c r="P278" s="134"/>
      <c r="Q278" s="134"/>
      <c r="R278" s="134"/>
    </row>
    <row r="279">
      <c r="A279" s="107"/>
      <c r="B279" s="107"/>
      <c r="D279" s="134"/>
      <c r="P279" s="134"/>
      <c r="Q279" s="134"/>
      <c r="R279" s="134"/>
    </row>
    <row r="280">
      <c r="A280" s="107"/>
      <c r="B280" s="107"/>
      <c r="D280" s="134"/>
      <c r="P280" s="134"/>
      <c r="Q280" s="134"/>
      <c r="R280" s="134"/>
    </row>
    <row r="281">
      <c r="A281" s="107"/>
      <c r="B281" s="107"/>
      <c r="D281" s="134"/>
      <c r="P281" s="134"/>
      <c r="Q281" s="134"/>
      <c r="R281" s="134"/>
    </row>
    <row r="282">
      <c r="A282" s="107"/>
      <c r="B282" s="107"/>
      <c r="D282" s="134"/>
      <c r="P282" s="134"/>
      <c r="Q282" s="134"/>
      <c r="R282" s="134"/>
    </row>
    <row r="283">
      <c r="A283" s="107"/>
      <c r="B283" s="107"/>
      <c r="D283" s="134"/>
      <c r="P283" s="134"/>
      <c r="Q283" s="134"/>
      <c r="R283" s="134"/>
    </row>
    <row r="284">
      <c r="A284" s="107"/>
      <c r="B284" s="107"/>
      <c r="D284" s="134"/>
      <c r="P284" s="134"/>
      <c r="Q284" s="134"/>
      <c r="R284" s="134"/>
    </row>
    <row r="285">
      <c r="A285" s="107"/>
      <c r="B285" s="107"/>
      <c r="D285" s="134"/>
      <c r="P285" s="134"/>
      <c r="Q285" s="134"/>
      <c r="R285" s="134"/>
    </row>
    <row r="286">
      <c r="A286" s="107"/>
      <c r="B286" s="107"/>
      <c r="D286" s="134"/>
      <c r="P286" s="134"/>
      <c r="Q286" s="134"/>
      <c r="R286" s="134"/>
    </row>
    <row r="287">
      <c r="A287" s="107"/>
      <c r="B287" s="107"/>
      <c r="D287" s="134"/>
      <c r="P287" s="134"/>
      <c r="Q287" s="134"/>
      <c r="R287" s="134"/>
    </row>
    <row r="288">
      <c r="A288" s="107"/>
      <c r="B288" s="107"/>
      <c r="D288" s="134"/>
      <c r="P288" s="134"/>
      <c r="Q288" s="134"/>
      <c r="R288" s="134"/>
    </row>
    <row r="289">
      <c r="A289" s="107"/>
      <c r="B289" s="107"/>
      <c r="D289" s="134"/>
      <c r="P289" s="134"/>
      <c r="Q289" s="134"/>
      <c r="R289" s="134"/>
    </row>
    <row r="290">
      <c r="A290" s="107"/>
      <c r="B290" s="107"/>
      <c r="D290" s="134"/>
      <c r="P290" s="134"/>
      <c r="Q290" s="134"/>
      <c r="R290" s="134"/>
    </row>
    <row r="291">
      <c r="A291" s="107"/>
      <c r="B291" s="107"/>
      <c r="D291" s="134"/>
      <c r="P291" s="134"/>
      <c r="Q291" s="134"/>
      <c r="R291" s="134"/>
    </row>
    <row r="292">
      <c r="A292" s="107"/>
      <c r="B292" s="107"/>
      <c r="D292" s="134"/>
      <c r="P292" s="134"/>
      <c r="Q292" s="134"/>
      <c r="R292" s="134"/>
    </row>
    <row r="293">
      <c r="A293" s="107"/>
      <c r="B293" s="107"/>
      <c r="D293" s="134"/>
      <c r="P293" s="134"/>
      <c r="Q293" s="134"/>
      <c r="R293" s="134"/>
    </row>
    <row r="294">
      <c r="A294" s="107"/>
      <c r="B294" s="107"/>
      <c r="D294" s="134"/>
      <c r="P294" s="134"/>
      <c r="Q294" s="134"/>
      <c r="R294" s="134"/>
    </row>
    <row r="295">
      <c r="A295" s="107"/>
      <c r="B295" s="107"/>
      <c r="D295" s="134"/>
      <c r="P295" s="134"/>
      <c r="Q295" s="134"/>
      <c r="R295" s="134"/>
    </row>
    <row r="296">
      <c r="A296" s="107"/>
      <c r="B296" s="107"/>
      <c r="D296" s="134"/>
      <c r="P296" s="134"/>
      <c r="Q296" s="134"/>
      <c r="R296" s="134"/>
    </row>
    <row r="297">
      <c r="A297" s="107"/>
      <c r="B297" s="107"/>
      <c r="D297" s="134"/>
      <c r="P297" s="134"/>
      <c r="Q297" s="134"/>
      <c r="R297" s="134"/>
    </row>
    <row r="298">
      <c r="A298" s="107"/>
      <c r="B298" s="107"/>
      <c r="D298" s="134"/>
      <c r="P298" s="134"/>
      <c r="Q298" s="134"/>
      <c r="R298" s="134"/>
    </row>
    <row r="299">
      <c r="A299" s="107"/>
      <c r="B299" s="107"/>
      <c r="D299" s="134"/>
      <c r="P299" s="134"/>
      <c r="Q299" s="134"/>
      <c r="R299" s="134"/>
    </row>
    <row r="300">
      <c r="A300" s="107"/>
      <c r="B300" s="107"/>
      <c r="D300" s="134"/>
      <c r="P300" s="134"/>
      <c r="Q300" s="134"/>
      <c r="R300" s="134"/>
    </row>
    <row r="301">
      <c r="A301" s="107"/>
      <c r="B301" s="107"/>
      <c r="D301" s="134"/>
      <c r="P301" s="134"/>
      <c r="Q301" s="134"/>
      <c r="R301" s="134"/>
    </row>
    <row r="302">
      <c r="A302" s="107"/>
      <c r="B302" s="107"/>
      <c r="D302" s="134"/>
      <c r="P302" s="134"/>
      <c r="Q302" s="134"/>
      <c r="R302" s="134"/>
    </row>
    <row r="303">
      <c r="A303" s="107"/>
      <c r="B303" s="107"/>
      <c r="D303" s="134"/>
      <c r="P303" s="134"/>
      <c r="Q303" s="134"/>
      <c r="R303" s="134"/>
    </row>
    <row r="304">
      <c r="A304" s="107"/>
      <c r="B304" s="107"/>
      <c r="D304" s="134"/>
      <c r="P304" s="134"/>
      <c r="Q304" s="134"/>
      <c r="R304" s="134"/>
    </row>
    <row r="305">
      <c r="A305" s="107"/>
      <c r="B305" s="107"/>
      <c r="D305" s="134"/>
      <c r="P305" s="134"/>
      <c r="Q305" s="134"/>
      <c r="R305" s="134"/>
    </row>
    <row r="306">
      <c r="A306" s="107"/>
      <c r="B306" s="107"/>
      <c r="D306" s="134"/>
      <c r="P306" s="134"/>
      <c r="Q306" s="134"/>
      <c r="R306" s="134"/>
    </row>
    <row r="307">
      <c r="A307" s="107"/>
      <c r="B307" s="107"/>
      <c r="D307" s="134"/>
      <c r="P307" s="134"/>
      <c r="Q307" s="134"/>
      <c r="R307" s="134"/>
    </row>
    <row r="308">
      <c r="A308" s="107"/>
      <c r="B308" s="107"/>
      <c r="D308" s="134"/>
      <c r="P308" s="134"/>
      <c r="Q308" s="134"/>
      <c r="R308" s="134"/>
    </row>
    <row r="309">
      <c r="A309" s="107"/>
      <c r="B309" s="107"/>
      <c r="D309" s="134"/>
      <c r="P309" s="134"/>
      <c r="Q309" s="134"/>
      <c r="R309" s="134"/>
    </row>
    <row r="310">
      <c r="A310" s="107"/>
      <c r="B310" s="107"/>
      <c r="D310" s="134"/>
      <c r="P310" s="134"/>
      <c r="Q310" s="134"/>
      <c r="R310" s="134"/>
    </row>
    <row r="311">
      <c r="A311" s="107"/>
      <c r="B311" s="107"/>
      <c r="D311" s="134"/>
      <c r="P311" s="134"/>
      <c r="Q311" s="134"/>
      <c r="R311" s="134"/>
    </row>
    <row r="312">
      <c r="A312" s="107"/>
      <c r="B312" s="107"/>
      <c r="D312" s="134"/>
      <c r="P312" s="134"/>
      <c r="Q312" s="134"/>
      <c r="R312" s="134"/>
    </row>
    <row r="313">
      <c r="A313" s="107"/>
      <c r="B313" s="107"/>
      <c r="D313" s="134"/>
      <c r="P313" s="134"/>
      <c r="Q313" s="134"/>
      <c r="R313" s="134"/>
    </row>
    <row r="314">
      <c r="A314" s="107"/>
      <c r="B314" s="107"/>
      <c r="D314" s="134"/>
      <c r="P314" s="134"/>
      <c r="Q314" s="134"/>
      <c r="R314" s="134"/>
    </row>
    <row r="315">
      <c r="A315" s="107"/>
      <c r="B315" s="107"/>
      <c r="D315" s="134"/>
      <c r="P315" s="134"/>
      <c r="Q315" s="134"/>
      <c r="R315" s="134"/>
    </row>
    <row r="316">
      <c r="A316" s="107"/>
      <c r="B316" s="107"/>
      <c r="D316" s="134"/>
      <c r="P316" s="134"/>
      <c r="Q316" s="134"/>
      <c r="R316" s="134"/>
    </row>
    <row r="317">
      <c r="A317" s="107"/>
      <c r="B317" s="107"/>
      <c r="D317" s="134"/>
      <c r="P317" s="134"/>
      <c r="Q317" s="134"/>
      <c r="R317" s="134"/>
    </row>
    <row r="318">
      <c r="A318" s="107"/>
      <c r="B318" s="107"/>
      <c r="D318" s="134"/>
      <c r="P318" s="134"/>
      <c r="Q318" s="134"/>
      <c r="R318" s="134"/>
    </row>
    <row r="319">
      <c r="A319" s="107"/>
      <c r="B319" s="107"/>
      <c r="D319" s="134"/>
      <c r="P319" s="134"/>
      <c r="Q319" s="134"/>
      <c r="R319" s="134"/>
    </row>
    <row r="320">
      <c r="A320" s="107"/>
      <c r="B320" s="107"/>
      <c r="D320" s="134"/>
      <c r="P320" s="134"/>
      <c r="Q320" s="134"/>
      <c r="R320" s="134"/>
    </row>
    <row r="321">
      <c r="A321" s="107"/>
      <c r="B321" s="107"/>
      <c r="D321" s="134"/>
      <c r="P321" s="134"/>
      <c r="Q321" s="134"/>
      <c r="R321" s="134"/>
    </row>
    <row r="322">
      <c r="A322" s="107"/>
      <c r="B322" s="107"/>
      <c r="D322" s="134"/>
      <c r="P322" s="134"/>
      <c r="Q322" s="134"/>
      <c r="R322" s="134"/>
    </row>
    <row r="323">
      <c r="A323" s="107"/>
      <c r="B323" s="107"/>
      <c r="D323" s="134"/>
      <c r="P323" s="134"/>
      <c r="Q323" s="134"/>
      <c r="R323" s="134"/>
    </row>
    <row r="324">
      <c r="A324" s="107"/>
      <c r="B324" s="107"/>
      <c r="D324" s="134"/>
      <c r="P324" s="134"/>
      <c r="Q324" s="134"/>
      <c r="R324" s="134"/>
    </row>
    <row r="325">
      <c r="A325" s="107"/>
      <c r="B325" s="107"/>
      <c r="D325" s="134"/>
      <c r="P325" s="134"/>
      <c r="Q325" s="134"/>
      <c r="R325" s="134"/>
    </row>
    <row r="326">
      <c r="A326" s="107"/>
      <c r="B326" s="107"/>
      <c r="D326" s="134"/>
      <c r="P326" s="134"/>
      <c r="Q326" s="134"/>
      <c r="R326" s="134"/>
    </row>
    <row r="327">
      <c r="A327" s="107"/>
      <c r="B327" s="107"/>
      <c r="D327" s="134"/>
      <c r="P327" s="134"/>
      <c r="Q327" s="134"/>
      <c r="R327" s="134"/>
    </row>
    <row r="328">
      <c r="A328" s="107"/>
      <c r="B328" s="107"/>
      <c r="D328" s="134"/>
      <c r="P328" s="134"/>
      <c r="Q328" s="134"/>
      <c r="R328" s="134"/>
    </row>
    <row r="329">
      <c r="A329" s="107"/>
      <c r="B329" s="107"/>
      <c r="D329" s="134"/>
      <c r="P329" s="134"/>
      <c r="Q329" s="134"/>
      <c r="R329" s="134"/>
    </row>
    <row r="330">
      <c r="A330" s="107"/>
      <c r="B330" s="107"/>
      <c r="D330" s="134"/>
      <c r="P330" s="134"/>
      <c r="Q330" s="134"/>
      <c r="R330" s="134"/>
    </row>
    <row r="331">
      <c r="A331" s="107"/>
      <c r="B331" s="107"/>
      <c r="D331" s="134"/>
      <c r="P331" s="134"/>
      <c r="Q331" s="134"/>
      <c r="R331" s="134"/>
    </row>
    <row r="332">
      <c r="A332" s="107"/>
      <c r="B332" s="107"/>
      <c r="D332" s="134"/>
      <c r="P332" s="134"/>
      <c r="Q332" s="134"/>
      <c r="R332" s="134"/>
    </row>
    <row r="333">
      <c r="A333" s="107"/>
      <c r="B333" s="107"/>
      <c r="D333" s="134"/>
      <c r="P333" s="134"/>
      <c r="Q333" s="134"/>
      <c r="R333" s="134"/>
    </row>
    <row r="334">
      <c r="A334" s="107"/>
      <c r="B334" s="107"/>
      <c r="D334" s="134"/>
      <c r="P334" s="134"/>
      <c r="Q334" s="134"/>
      <c r="R334" s="134"/>
    </row>
    <row r="335">
      <c r="A335" s="107"/>
      <c r="B335" s="107"/>
      <c r="D335" s="134"/>
      <c r="P335" s="134"/>
      <c r="Q335" s="134"/>
      <c r="R335" s="134"/>
    </row>
    <row r="336">
      <c r="A336" s="107"/>
      <c r="B336" s="107"/>
      <c r="D336" s="134"/>
      <c r="P336" s="134"/>
      <c r="Q336" s="134"/>
      <c r="R336" s="134"/>
    </row>
    <row r="337">
      <c r="A337" s="107"/>
      <c r="B337" s="107"/>
      <c r="D337" s="134"/>
      <c r="P337" s="134"/>
      <c r="Q337" s="134"/>
      <c r="R337" s="134"/>
    </row>
    <row r="338">
      <c r="A338" s="107"/>
      <c r="B338" s="107"/>
      <c r="D338" s="134"/>
      <c r="P338" s="134"/>
      <c r="Q338" s="134"/>
      <c r="R338" s="134"/>
    </row>
    <row r="339">
      <c r="A339" s="107"/>
      <c r="B339" s="107"/>
      <c r="D339" s="134"/>
      <c r="P339" s="134"/>
      <c r="Q339" s="134"/>
      <c r="R339" s="134"/>
    </row>
    <row r="340">
      <c r="A340" s="107"/>
      <c r="B340" s="107"/>
      <c r="D340" s="134"/>
      <c r="P340" s="134"/>
      <c r="Q340" s="134"/>
      <c r="R340" s="134"/>
    </row>
    <row r="341">
      <c r="A341" s="107"/>
      <c r="B341" s="107"/>
      <c r="D341" s="134"/>
      <c r="P341" s="134"/>
      <c r="Q341" s="134"/>
      <c r="R341" s="134"/>
    </row>
    <row r="342">
      <c r="A342" s="107"/>
      <c r="B342" s="107"/>
      <c r="D342" s="134"/>
      <c r="P342" s="134"/>
      <c r="Q342" s="134"/>
      <c r="R342" s="134"/>
    </row>
    <row r="343">
      <c r="A343" s="107"/>
      <c r="B343" s="107"/>
      <c r="D343" s="134"/>
      <c r="P343" s="134"/>
      <c r="Q343" s="134"/>
      <c r="R343" s="134"/>
    </row>
    <row r="344">
      <c r="A344" s="107"/>
      <c r="B344" s="107"/>
      <c r="D344" s="134"/>
      <c r="P344" s="134"/>
      <c r="Q344" s="134"/>
      <c r="R344" s="134"/>
    </row>
    <row r="345">
      <c r="A345" s="107"/>
      <c r="B345" s="107"/>
      <c r="D345" s="134"/>
      <c r="P345" s="134"/>
      <c r="Q345" s="134"/>
      <c r="R345" s="134"/>
    </row>
    <row r="346">
      <c r="A346" s="107"/>
      <c r="B346" s="107"/>
      <c r="D346" s="134"/>
      <c r="P346" s="134"/>
      <c r="Q346" s="134"/>
      <c r="R346" s="134"/>
    </row>
    <row r="347">
      <c r="A347" s="107"/>
      <c r="B347" s="107"/>
      <c r="D347" s="134"/>
      <c r="P347" s="134"/>
      <c r="Q347" s="134"/>
      <c r="R347" s="134"/>
    </row>
    <row r="348">
      <c r="A348" s="107"/>
      <c r="B348" s="107"/>
      <c r="D348" s="134"/>
      <c r="P348" s="134"/>
      <c r="Q348" s="134"/>
      <c r="R348" s="134"/>
    </row>
    <row r="349">
      <c r="A349" s="107"/>
      <c r="B349" s="107"/>
      <c r="D349" s="134"/>
      <c r="P349" s="134"/>
      <c r="Q349" s="134"/>
      <c r="R349" s="134"/>
    </row>
    <row r="350">
      <c r="A350" s="107"/>
      <c r="B350" s="107"/>
      <c r="D350" s="134"/>
      <c r="P350" s="134"/>
      <c r="Q350" s="134"/>
      <c r="R350" s="134"/>
    </row>
    <row r="351">
      <c r="A351" s="107"/>
      <c r="B351" s="107"/>
      <c r="D351" s="134"/>
      <c r="P351" s="134"/>
      <c r="Q351" s="134"/>
      <c r="R351" s="134"/>
    </row>
    <row r="352">
      <c r="A352" s="107"/>
      <c r="B352" s="107"/>
      <c r="D352" s="134"/>
      <c r="P352" s="134"/>
      <c r="Q352" s="134"/>
      <c r="R352" s="134"/>
    </row>
    <row r="353">
      <c r="A353" s="107"/>
      <c r="B353" s="107"/>
      <c r="D353" s="134"/>
      <c r="P353" s="134"/>
      <c r="Q353" s="134"/>
      <c r="R353" s="134"/>
    </row>
    <row r="354">
      <c r="A354" s="107"/>
      <c r="B354" s="107"/>
      <c r="D354" s="134"/>
      <c r="P354" s="134"/>
      <c r="Q354" s="134"/>
      <c r="R354" s="134"/>
    </row>
    <row r="355">
      <c r="A355" s="107"/>
      <c r="B355" s="107"/>
      <c r="D355" s="134"/>
      <c r="P355" s="134"/>
      <c r="Q355" s="134"/>
      <c r="R355" s="134"/>
    </row>
    <row r="356">
      <c r="A356" s="107"/>
      <c r="B356" s="107"/>
      <c r="D356" s="134"/>
      <c r="P356" s="134"/>
      <c r="Q356" s="134"/>
      <c r="R356" s="134"/>
    </row>
    <row r="357">
      <c r="A357" s="107"/>
      <c r="B357" s="107"/>
      <c r="D357" s="134"/>
      <c r="P357" s="134"/>
      <c r="Q357" s="134"/>
      <c r="R357" s="134"/>
    </row>
    <row r="358">
      <c r="A358" s="107"/>
      <c r="B358" s="107"/>
      <c r="D358" s="134"/>
      <c r="P358" s="134"/>
      <c r="Q358" s="134"/>
      <c r="R358" s="134"/>
    </row>
    <row r="359">
      <c r="A359" s="107"/>
      <c r="B359" s="107"/>
      <c r="D359" s="134"/>
      <c r="P359" s="134"/>
      <c r="Q359" s="134"/>
      <c r="R359" s="134"/>
    </row>
    <row r="360">
      <c r="A360" s="107"/>
      <c r="B360" s="107"/>
      <c r="D360" s="134"/>
      <c r="P360" s="134"/>
      <c r="Q360" s="134"/>
      <c r="R360" s="134"/>
    </row>
    <row r="361">
      <c r="A361" s="107"/>
      <c r="B361" s="107"/>
      <c r="D361" s="134"/>
      <c r="P361" s="134"/>
      <c r="Q361" s="134"/>
      <c r="R361" s="134"/>
    </row>
    <row r="362">
      <c r="A362" s="107"/>
      <c r="B362" s="107"/>
      <c r="D362" s="134"/>
      <c r="P362" s="134"/>
      <c r="Q362" s="134"/>
      <c r="R362" s="134"/>
    </row>
    <row r="363">
      <c r="A363" s="107"/>
      <c r="B363" s="107"/>
      <c r="D363" s="134"/>
      <c r="P363" s="134"/>
      <c r="Q363" s="134"/>
      <c r="R363" s="134"/>
    </row>
    <row r="364">
      <c r="A364" s="107"/>
      <c r="B364" s="107"/>
      <c r="D364" s="134"/>
      <c r="P364" s="134"/>
      <c r="Q364" s="134"/>
      <c r="R364" s="134"/>
    </row>
    <row r="365">
      <c r="A365" s="107"/>
      <c r="B365" s="107"/>
      <c r="D365" s="134"/>
      <c r="P365" s="134"/>
      <c r="Q365" s="134"/>
      <c r="R365" s="134"/>
    </row>
    <row r="366">
      <c r="A366" s="107"/>
      <c r="B366" s="107"/>
      <c r="D366" s="134"/>
      <c r="P366" s="134"/>
      <c r="Q366" s="134"/>
      <c r="R366" s="134"/>
    </row>
    <row r="367">
      <c r="A367" s="107"/>
      <c r="B367" s="107"/>
      <c r="D367" s="134"/>
      <c r="P367" s="134"/>
      <c r="Q367" s="134"/>
      <c r="R367" s="134"/>
    </row>
    <row r="368">
      <c r="A368" s="107"/>
      <c r="B368" s="107"/>
      <c r="D368" s="134"/>
      <c r="P368" s="134"/>
      <c r="Q368" s="134"/>
      <c r="R368" s="134"/>
    </row>
    <row r="369">
      <c r="A369" s="107"/>
      <c r="B369" s="107"/>
      <c r="D369" s="134"/>
      <c r="P369" s="134"/>
      <c r="Q369" s="134"/>
      <c r="R369" s="134"/>
    </row>
    <row r="370">
      <c r="A370" s="107"/>
      <c r="B370" s="107"/>
      <c r="D370" s="134"/>
      <c r="P370" s="134"/>
      <c r="Q370" s="134"/>
      <c r="R370" s="134"/>
    </row>
    <row r="371">
      <c r="A371" s="107"/>
      <c r="B371" s="107"/>
      <c r="D371" s="134"/>
      <c r="P371" s="134"/>
      <c r="Q371" s="134"/>
      <c r="R371" s="134"/>
    </row>
    <row r="372">
      <c r="A372" s="107"/>
      <c r="B372" s="107"/>
      <c r="D372" s="134"/>
      <c r="P372" s="134"/>
      <c r="Q372" s="134"/>
      <c r="R372" s="134"/>
    </row>
    <row r="373">
      <c r="A373" s="107"/>
      <c r="B373" s="107"/>
      <c r="D373" s="134"/>
      <c r="P373" s="134"/>
      <c r="Q373" s="134"/>
      <c r="R373" s="134"/>
    </row>
    <row r="374">
      <c r="A374" s="107"/>
      <c r="B374" s="107"/>
      <c r="D374" s="134"/>
      <c r="P374" s="134"/>
      <c r="Q374" s="134"/>
      <c r="R374" s="134"/>
    </row>
    <row r="375">
      <c r="A375" s="107"/>
      <c r="B375" s="107"/>
      <c r="D375" s="134"/>
      <c r="P375" s="134"/>
      <c r="Q375" s="134"/>
      <c r="R375" s="134"/>
    </row>
    <row r="376">
      <c r="A376" s="107"/>
      <c r="B376" s="107"/>
      <c r="D376" s="134"/>
      <c r="P376" s="134"/>
      <c r="Q376" s="134"/>
      <c r="R376" s="134"/>
    </row>
    <row r="377">
      <c r="A377" s="107"/>
      <c r="B377" s="107"/>
      <c r="D377" s="134"/>
      <c r="P377" s="134"/>
      <c r="Q377" s="134"/>
      <c r="R377" s="134"/>
    </row>
    <row r="378">
      <c r="A378" s="107"/>
      <c r="B378" s="107"/>
      <c r="D378" s="134"/>
      <c r="P378" s="134"/>
      <c r="Q378" s="134"/>
      <c r="R378" s="134"/>
    </row>
    <row r="379">
      <c r="A379" s="107"/>
      <c r="B379" s="107"/>
      <c r="D379" s="134"/>
      <c r="P379" s="134"/>
      <c r="Q379" s="134"/>
      <c r="R379" s="134"/>
    </row>
    <row r="380">
      <c r="A380" s="107"/>
      <c r="B380" s="107"/>
      <c r="D380" s="134"/>
      <c r="P380" s="134"/>
      <c r="Q380" s="134"/>
      <c r="R380" s="134"/>
    </row>
    <row r="381">
      <c r="A381" s="107"/>
      <c r="B381" s="107"/>
      <c r="D381" s="134"/>
      <c r="P381" s="134"/>
      <c r="Q381" s="134"/>
      <c r="R381" s="134"/>
    </row>
    <row r="382">
      <c r="A382" s="107"/>
      <c r="B382" s="107"/>
      <c r="D382" s="134"/>
      <c r="P382" s="134"/>
      <c r="Q382" s="134"/>
      <c r="R382" s="134"/>
    </row>
    <row r="383">
      <c r="A383" s="107"/>
      <c r="B383" s="107"/>
      <c r="D383" s="134"/>
      <c r="P383" s="134"/>
      <c r="Q383" s="134"/>
      <c r="R383" s="134"/>
    </row>
    <row r="384">
      <c r="A384" s="107"/>
      <c r="B384" s="107"/>
      <c r="D384" s="134"/>
      <c r="P384" s="134"/>
      <c r="Q384" s="134"/>
      <c r="R384" s="134"/>
    </row>
    <row r="385">
      <c r="A385" s="107"/>
      <c r="B385" s="107"/>
      <c r="D385" s="134"/>
      <c r="P385" s="134"/>
      <c r="Q385" s="134"/>
      <c r="R385" s="134"/>
    </row>
    <row r="386">
      <c r="A386" s="107"/>
      <c r="B386" s="107"/>
      <c r="D386" s="134"/>
      <c r="P386" s="134"/>
      <c r="Q386" s="134"/>
      <c r="R386" s="134"/>
    </row>
    <row r="387">
      <c r="A387" s="107"/>
      <c r="B387" s="107"/>
      <c r="D387" s="134"/>
      <c r="P387" s="134"/>
      <c r="Q387" s="134"/>
      <c r="R387" s="134"/>
    </row>
    <row r="388">
      <c r="A388" s="107"/>
      <c r="B388" s="107"/>
      <c r="D388" s="134"/>
      <c r="P388" s="134"/>
      <c r="Q388" s="134"/>
      <c r="R388" s="134"/>
    </row>
    <row r="389">
      <c r="A389" s="107"/>
      <c r="B389" s="107"/>
      <c r="D389" s="134"/>
      <c r="P389" s="134"/>
      <c r="Q389" s="134"/>
      <c r="R389" s="134"/>
    </row>
    <row r="390">
      <c r="A390" s="107"/>
      <c r="B390" s="107"/>
      <c r="D390" s="134"/>
      <c r="P390" s="134"/>
      <c r="Q390" s="134"/>
      <c r="R390" s="134"/>
    </row>
    <row r="391">
      <c r="A391" s="107"/>
      <c r="B391" s="107"/>
      <c r="D391" s="134"/>
      <c r="P391" s="134"/>
      <c r="Q391" s="134"/>
      <c r="R391" s="134"/>
    </row>
    <row r="392">
      <c r="A392" s="107"/>
      <c r="B392" s="107"/>
      <c r="D392" s="134"/>
      <c r="P392" s="134"/>
      <c r="Q392" s="134"/>
      <c r="R392" s="134"/>
    </row>
    <row r="393">
      <c r="A393" s="107"/>
      <c r="B393" s="107"/>
      <c r="D393" s="134"/>
      <c r="P393" s="134"/>
      <c r="Q393" s="134"/>
      <c r="R393" s="134"/>
    </row>
    <row r="394">
      <c r="A394" s="107"/>
      <c r="B394" s="107"/>
      <c r="D394" s="134"/>
      <c r="P394" s="134"/>
      <c r="Q394" s="134"/>
      <c r="R394" s="134"/>
    </row>
    <row r="395">
      <c r="A395" s="107"/>
      <c r="B395" s="107"/>
      <c r="D395" s="134"/>
      <c r="P395" s="134"/>
      <c r="Q395" s="134"/>
      <c r="R395" s="134"/>
    </row>
    <row r="396">
      <c r="A396" s="107"/>
      <c r="B396" s="107"/>
      <c r="D396" s="134"/>
      <c r="P396" s="134"/>
      <c r="Q396" s="134"/>
      <c r="R396" s="134"/>
    </row>
    <row r="397">
      <c r="A397" s="107"/>
      <c r="B397" s="107"/>
      <c r="D397" s="134"/>
      <c r="P397" s="134"/>
      <c r="Q397" s="134"/>
      <c r="R397" s="134"/>
    </row>
    <row r="398">
      <c r="A398" s="107"/>
      <c r="B398" s="107"/>
      <c r="D398" s="134"/>
      <c r="P398" s="134"/>
      <c r="Q398" s="134"/>
      <c r="R398" s="134"/>
    </row>
    <row r="399">
      <c r="A399" s="107"/>
      <c r="B399" s="107"/>
      <c r="D399" s="134"/>
      <c r="P399" s="134"/>
      <c r="Q399" s="134"/>
      <c r="R399" s="134"/>
    </row>
    <row r="400">
      <c r="A400" s="107"/>
      <c r="B400" s="107"/>
      <c r="D400" s="134"/>
      <c r="P400" s="134"/>
      <c r="Q400" s="134"/>
      <c r="R400" s="134"/>
    </row>
    <row r="401">
      <c r="A401" s="107"/>
      <c r="B401" s="107"/>
      <c r="D401" s="134"/>
      <c r="P401" s="134"/>
      <c r="Q401" s="134"/>
      <c r="R401" s="134"/>
    </row>
    <row r="402">
      <c r="A402" s="107"/>
      <c r="B402" s="107"/>
      <c r="D402" s="134"/>
      <c r="P402" s="134"/>
      <c r="Q402" s="134"/>
      <c r="R402" s="134"/>
    </row>
    <row r="403">
      <c r="A403" s="107"/>
      <c r="B403" s="107"/>
      <c r="D403" s="134"/>
      <c r="P403" s="134"/>
      <c r="Q403" s="134"/>
      <c r="R403" s="134"/>
    </row>
    <row r="404">
      <c r="A404" s="107"/>
      <c r="B404" s="107"/>
      <c r="D404" s="134"/>
      <c r="P404" s="134"/>
      <c r="Q404" s="134"/>
      <c r="R404" s="134"/>
    </row>
    <row r="405">
      <c r="A405" s="107"/>
      <c r="B405" s="107"/>
      <c r="D405" s="134"/>
      <c r="P405" s="134"/>
      <c r="Q405" s="134"/>
      <c r="R405" s="134"/>
    </row>
    <row r="406">
      <c r="A406" s="107"/>
      <c r="B406" s="107"/>
      <c r="D406" s="134"/>
      <c r="P406" s="134"/>
      <c r="Q406" s="134"/>
      <c r="R406" s="134"/>
    </row>
    <row r="407">
      <c r="A407" s="107"/>
      <c r="B407" s="107"/>
      <c r="D407" s="134"/>
      <c r="P407" s="134"/>
      <c r="Q407" s="134"/>
      <c r="R407" s="134"/>
    </row>
    <row r="408">
      <c r="A408" s="107"/>
      <c r="B408" s="107"/>
      <c r="D408" s="134"/>
      <c r="P408" s="134"/>
      <c r="Q408" s="134"/>
      <c r="R408" s="134"/>
    </row>
    <row r="409">
      <c r="A409" s="107"/>
      <c r="B409" s="107"/>
      <c r="D409" s="134"/>
      <c r="P409" s="134"/>
      <c r="Q409" s="134"/>
      <c r="R409" s="134"/>
    </row>
    <row r="410">
      <c r="A410" s="107"/>
      <c r="B410" s="107"/>
      <c r="D410" s="134"/>
      <c r="P410" s="134"/>
      <c r="Q410" s="134"/>
      <c r="R410" s="134"/>
    </row>
    <row r="411">
      <c r="A411" s="107"/>
      <c r="B411" s="107"/>
      <c r="D411" s="134"/>
      <c r="P411" s="134"/>
      <c r="Q411" s="134"/>
      <c r="R411" s="134"/>
    </row>
    <row r="412">
      <c r="A412" s="107"/>
      <c r="B412" s="107"/>
      <c r="D412" s="134"/>
      <c r="P412" s="134"/>
      <c r="Q412" s="134"/>
      <c r="R412" s="134"/>
    </row>
    <row r="413">
      <c r="A413" s="107"/>
      <c r="B413" s="107"/>
      <c r="D413" s="134"/>
      <c r="P413" s="134"/>
      <c r="Q413" s="134"/>
      <c r="R413" s="134"/>
    </row>
    <row r="414">
      <c r="A414" s="107"/>
      <c r="B414" s="107"/>
      <c r="D414" s="134"/>
      <c r="P414" s="134"/>
      <c r="Q414" s="134"/>
      <c r="R414" s="134"/>
    </row>
    <row r="415">
      <c r="A415" s="107"/>
      <c r="B415" s="107"/>
      <c r="D415" s="134"/>
      <c r="P415" s="134"/>
      <c r="Q415" s="134"/>
      <c r="R415" s="134"/>
    </row>
    <row r="416">
      <c r="A416" s="107"/>
      <c r="B416" s="107"/>
      <c r="D416" s="134"/>
      <c r="P416" s="134"/>
      <c r="Q416" s="134"/>
      <c r="R416" s="134"/>
    </row>
    <row r="417">
      <c r="A417" s="107"/>
      <c r="B417" s="107"/>
      <c r="D417" s="134"/>
      <c r="P417" s="134"/>
      <c r="Q417" s="134"/>
      <c r="R417" s="134"/>
    </row>
    <row r="418">
      <c r="A418" s="107"/>
      <c r="B418" s="107"/>
      <c r="D418" s="134"/>
      <c r="P418" s="134"/>
      <c r="Q418" s="134"/>
      <c r="R418" s="134"/>
    </row>
    <row r="419">
      <c r="A419" s="107"/>
      <c r="B419" s="107"/>
      <c r="D419" s="134"/>
      <c r="P419" s="134"/>
      <c r="Q419" s="134"/>
      <c r="R419" s="134"/>
    </row>
    <row r="420">
      <c r="A420" s="107"/>
      <c r="B420" s="107"/>
      <c r="D420" s="134"/>
      <c r="P420" s="134"/>
      <c r="Q420" s="134"/>
      <c r="R420" s="134"/>
    </row>
    <row r="421">
      <c r="A421" s="107"/>
      <c r="B421" s="107"/>
      <c r="D421" s="134"/>
      <c r="P421" s="134"/>
      <c r="Q421" s="134"/>
      <c r="R421" s="134"/>
    </row>
    <row r="422">
      <c r="A422" s="107"/>
      <c r="B422" s="107"/>
      <c r="D422" s="134"/>
      <c r="P422" s="134"/>
      <c r="Q422" s="134"/>
      <c r="R422" s="134"/>
    </row>
    <row r="423">
      <c r="A423" s="107"/>
      <c r="B423" s="107"/>
      <c r="D423" s="134"/>
      <c r="P423" s="134"/>
      <c r="Q423" s="134"/>
      <c r="R423" s="134"/>
    </row>
    <row r="424">
      <c r="A424" s="107"/>
      <c r="B424" s="107"/>
      <c r="D424" s="134"/>
      <c r="P424" s="134"/>
      <c r="Q424" s="134"/>
      <c r="R424" s="134"/>
    </row>
    <row r="425">
      <c r="A425" s="107"/>
      <c r="B425" s="107"/>
      <c r="D425" s="134"/>
      <c r="P425" s="134"/>
      <c r="Q425" s="134"/>
      <c r="R425" s="134"/>
    </row>
    <row r="426">
      <c r="A426" s="107"/>
      <c r="B426" s="107"/>
      <c r="D426" s="134"/>
      <c r="P426" s="134"/>
      <c r="Q426" s="134"/>
      <c r="R426" s="134"/>
    </row>
    <row r="427">
      <c r="A427" s="107"/>
      <c r="B427" s="107"/>
      <c r="D427" s="134"/>
      <c r="P427" s="134"/>
      <c r="Q427" s="134"/>
      <c r="R427" s="134"/>
    </row>
    <row r="428">
      <c r="A428" s="107"/>
      <c r="B428" s="107"/>
      <c r="D428" s="134"/>
      <c r="P428" s="134"/>
      <c r="Q428" s="134"/>
      <c r="R428" s="134"/>
    </row>
    <row r="429">
      <c r="A429" s="107"/>
      <c r="B429" s="107"/>
      <c r="D429" s="134"/>
      <c r="P429" s="134"/>
      <c r="Q429" s="134"/>
      <c r="R429" s="134"/>
    </row>
    <row r="430">
      <c r="A430" s="107"/>
      <c r="B430" s="107"/>
      <c r="D430" s="134"/>
      <c r="P430" s="134"/>
      <c r="Q430" s="134"/>
      <c r="R430" s="134"/>
    </row>
    <row r="431">
      <c r="A431" s="107"/>
      <c r="B431" s="107"/>
      <c r="D431" s="134"/>
      <c r="P431" s="134"/>
      <c r="Q431" s="134"/>
      <c r="R431" s="134"/>
    </row>
    <row r="432">
      <c r="A432" s="107"/>
      <c r="B432" s="107"/>
      <c r="D432" s="134"/>
      <c r="P432" s="134"/>
      <c r="Q432" s="134"/>
      <c r="R432" s="134"/>
    </row>
    <row r="433">
      <c r="A433" s="107"/>
      <c r="B433" s="107"/>
      <c r="D433" s="134"/>
      <c r="P433" s="134"/>
      <c r="Q433" s="134"/>
      <c r="R433" s="134"/>
    </row>
    <row r="434">
      <c r="A434" s="107"/>
      <c r="B434" s="107"/>
      <c r="D434" s="134"/>
      <c r="P434" s="134"/>
      <c r="Q434" s="134"/>
      <c r="R434" s="134"/>
    </row>
    <row r="435">
      <c r="A435" s="107"/>
      <c r="B435" s="107"/>
      <c r="D435" s="134"/>
      <c r="P435" s="134"/>
      <c r="Q435" s="134"/>
      <c r="R435" s="134"/>
    </row>
    <row r="436">
      <c r="A436" s="107"/>
      <c r="B436" s="107"/>
      <c r="D436" s="134"/>
      <c r="P436" s="134"/>
      <c r="Q436" s="134"/>
      <c r="R436" s="134"/>
    </row>
    <row r="437">
      <c r="A437" s="107"/>
      <c r="B437" s="107"/>
      <c r="D437" s="134"/>
      <c r="P437" s="134"/>
      <c r="Q437" s="134"/>
      <c r="R437" s="134"/>
    </row>
    <row r="438">
      <c r="A438" s="107"/>
      <c r="B438" s="107"/>
      <c r="D438" s="134"/>
      <c r="P438" s="134"/>
      <c r="Q438" s="134"/>
      <c r="R438" s="134"/>
    </row>
    <row r="439">
      <c r="A439" s="107"/>
      <c r="B439" s="107"/>
      <c r="D439" s="134"/>
      <c r="P439" s="134"/>
      <c r="Q439" s="134"/>
      <c r="R439" s="134"/>
    </row>
    <row r="440">
      <c r="A440" s="107"/>
      <c r="B440" s="107"/>
      <c r="D440" s="134"/>
      <c r="P440" s="134"/>
      <c r="Q440" s="134"/>
      <c r="R440" s="134"/>
    </row>
    <row r="441">
      <c r="A441" s="107"/>
      <c r="B441" s="107"/>
      <c r="D441" s="134"/>
      <c r="P441" s="134"/>
      <c r="Q441" s="134"/>
      <c r="R441" s="134"/>
    </row>
    <row r="442">
      <c r="A442" s="107"/>
      <c r="B442" s="107"/>
      <c r="D442" s="134"/>
      <c r="P442" s="134"/>
      <c r="Q442" s="134"/>
      <c r="R442" s="134"/>
    </row>
    <row r="443">
      <c r="A443" s="107"/>
      <c r="B443" s="107"/>
      <c r="D443" s="134"/>
      <c r="P443" s="134"/>
      <c r="Q443" s="134"/>
      <c r="R443" s="134"/>
    </row>
    <row r="444">
      <c r="A444" s="107"/>
      <c r="B444" s="107"/>
      <c r="D444" s="134"/>
      <c r="P444" s="134"/>
      <c r="Q444" s="134"/>
      <c r="R444" s="134"/>
    </row>
    <row r="445">
      <c r="A445" s="107"/>
      <c r="B445" s="107"/>
      <c r="D445" s="134"/>
      <c r="P445" s="134"/>
      <c r="Q445" s="134"/>
      <c r="R445" s="134"/>
    </row>
    <row r="446">
      <c r="A446" s="107"/>
      <c r="B446" s="107"/>
      <c r="D446" s="134"/>
      <c r="P446" s="134"/>
      <c r="Q446" s="134"/>
      <c r="R446" s="134"/>
    </row>
    <row r="447">
      <c r="A447" s="107"/>
      <c r="B447" s="107"/>
      <c r="D447" s="134"/>
      <c r="P447" s="134"/>
      <c r="Q447" s="134"/>
      <c r="R447" s="134"/>
    </row>
    <row r="448">
      <c r="A448" s="107"/>
      <c r="B448" s="107"/>
      <c r="D448" s="134"/>
      <c r="P448" s="134"/>
      <c r="Q448" s="134"/>
      <c r="R448" s="134"/>
    </row>
    <row r="449">
      <c r="A449" s="107"/>
      <c r="B449" s="107"/>
      <c r="D449" s="134"/>
      <c r="P449" s="134"/>
      <c r="Q449" s="134"/>
      <c r="R449" s="134"/>
    </row>
    <row r="450">
      <c r="A450" s="107"/>
      <c r="B450" s="107"/>
      <c r="D450" s="134"/>
      <c r="P450" s="134"/>
      <c r="Q450" s="134"/>
      <c r="R450" s="134"/>
    </row>
    <row r="451">
      <c r="A451" s="107"/>
      <c r="B451" s="107"/>
      <c r="D451" s="134"/>
      <c r="P451" s="134"/>
      <c r="Q451" s="134"/>
      <c r="R451" s="134"/>
    </row>
    <row r="452">
      <c r="A452" s="107"/>
      <c r="B452" s="107"/>
      <c r="D452" s="134"/>
      <c r="P452" s="134"/>
      <c r="Q452" s="134"/>
      <c r="R452" s="134"/>
    </row>
    <row r="453">
      <c r="A453" s="107"/>
      <c r="B453" s="107"/>
      <c r="D453" s="134"/>
      <c r="P453" s="134"/>
      <c r="Q453" s="134"/>
      <c r="R453" s="134"/>
    </row>
    <row r="454">
      <c r="A454" s="107"/>
      <c r="B454" s="107"/>
      <c r="D454" s="134"/>
      <c r="P454" s="134"/>
      <c r="Q454" s="134"/>
      <c r="R454" s="134"/>
    </row>
    <row r="455">
      <c r="A455" s="107"/>
      <c r="B455" s="107"/>
      <c r="D455" s="134"/>
      <c r="P455" s="134"/>
      <c r="Q455" s="134"/>
      <c r="R455" s="134"/>
    </row>
    <row r="456">
      <c r="A456" s="107"/>
      <c r="B456" s="107"/>
      <c r="D456" s="134"/>
      <c r="P456" s="134"/>
      <c r="Q456" s="134"/>
      <c r="R456" s="134"/>
    </row>
    <row r="457">
      <c r="A457" s="107"/>
      <c r="B457" s="107"/>
      <c r="D457" s="134"/>
      <c r="P457" s="134"/>
      <c r="Q457" s="134"/>
      <c r="R457" s="134"/>
    </row>
    <row r="458">
      <c r="A458" s="107"/>
      <c r="B458" s="107"/>
      <c r="D458" s="134"/>
      <c r="P458" s="134"/>
      <c r="Q458" s="134"/>
      <c r="R458" s="134"/>
    </row>
    <row r="459">
      <c r="A459" s="107"/>
      <c r="B459" s="107"/>
      <c r="D459" s="134"/>
      <c r="P459" s="134"/>
      <c r="Q459" s="134"/>
      <c r="R459" s="134"/>
    </row>
    <row r="460">
      <c r="A460" s="107"/>
      <c r="B460" s="107"/>
      <c r="D460" s="134"/>
      <c r="P460" s="134"/>
      <c r="Q460" s="134"/>
      <c r="R460" s="134"/>
    </row>
    <row r="461">
      <c r="A461" s="107"/>
      <c r="B461" s="107"/>
      <c r="D461" s="134"/>
      <c r="P461" s="134"/>
      <c r="Q461" s="134"/>
      <c r="R461" s="134"/>
    </row>
    <row r="462">
      <c r="A462" s="107"/>
      <c r="B462" s="107"/>
      <c r="D462" s="134"/>
      <c r="P462" s="134"/>
      <c r="Q462" s="134"/>
      <c r="R462" s="134"/>
    </row>
    <row r="463">
      <c r="A463" s="107"/>
      <c r="B463" s="107"/>
      <c r="D463" s="134"/>
      <c r="P463" s="134"/>
      <c r="Q463" s="134"/>
      <c r="R463" s="134"/>
    </row>
    <row r="464">
      <c r="A464" s="107"/>
      <c r="B464" s="107"/>
      <c r="D464" s="134"/>
      <c r="P464" s="134"/>
      <c r="Q464" s="134"/>
      <c r="R464" s="134"/>
    </row>
    <row r="465">
      <c r="A465" s="107"/>
      <c r="B465" s="107"/>
      <c r="D465" s="134"/>
      <c r="P465" s="134"/>
      <c r="Q465" s="134"/>
      <c r="R465" s="134"/>
    </row>
    <row r="466">
      <c r="A466" s="107"/>
      <c r="B466" s="107"/>
      <c r="D466" s="134"/>
      <c r="P466" s="134"/>
      <c r="Q466" s="134"/>
      <c r="R466" s="134"/>
    </row>
    <row r="467">
      <c r="A467" s="107"/>
      <c r="B467" s="107"/>
      <c r="D467" s="134"/>
      <c r="P467" s="134"/>
      <c r="Q467" s="134"/>
      <c r="R467" s="134"/>
    </row>
    <row r="468">
      <c r="A468" s="107"/>
      <c r="B468" s="107"/>
      <c r="D468" s="134"/>
      <c r="P468" s="134"/>
      <c r="Q468" s="134"/>
      <c r="R468" s="134"/>
    </row>
    <row r="469">
      <c r="A469" s="107"/>
      <c r="B469" s="107"/>
      <c r="D469" s="134"/>
      <c r="P469" s="134"/>
      <c r="Q469" s="134"/>
      <c r="R469" s="134"/>
    </row>
    <row r="470">
      <c r="A470" s="107"/>
      <c r="B470" s="107"/>
      <c r="D470" s="134"/>
      <c r="P470" s="134"/>
      <c r="Q470" s="134"/>
      <c r="R470" s="134"/>
    </row>
    <row r="471">
      <c r="A471" s="107"/>
      <c r="B471" s="107"/>
      <c r="D471" s="134"/>
      <c r="P471" s="134"/>
      <c r="Q471" s="134"/>
      <c r="R471" s="134"/>
    </row>
    <row r="472">
      <c r="A472" s="107"/>
      <c r="B472" s="107"/>
      <c r="D472" s="134"/>
      <c r="P472" s="134"/>
      <c r="Q472" s="134"/>
      <c r="R472" s="134"/>
    </row>
    <row r="473">
      <c r="A473" s="107"/>
      <c r="B473" s="107"/>
      <c r="D473" s="134"/>
      <c r="P473" s="134"/>
      <c r="Q473" s="134"/>
      <c r="R473" s="134"/>
    </row>
    <row r="474">
      <c r="A474" s="107"/>
      <c r="B474" s="107"/>
      <c r="D474" s="134"/>
      <c r="P474" s="134"/>
      <c r="Q474" s="134"/>
      <c r="R474" s="134"/>
    </row>
    <row r="475">
      <c r="A475" s="107"/>
      <c r="B475" s="107"/>
      <c r="D475" s="134"/>
      <c r="P475" s="134"/>
      <c r="Q475" s="134"/>
      <c r="R475" s="134"/>
    </row>
    <row r="476">
      <c r="A476" s="107"/>
      <c r="B476" s="107"/>
      <c r="D476" s="134"/>
      <c r="P476" s="134"/>
      <c r="Q476" s="134"/>
      <c r="R476" s="134"/>
    </row>
    <row r="477">
      <c r="A477" s="107"/>
      <c r="B477" s="107"/>
      <c r="D477" s="134"/>
      <c r="P477" s="134"/>
      <c r="Q477" s="134"/>
      <c r="R477" s="134"/>
    </row>
    <row r="478">
      <c r="A478" s="107"/>
      <c r="B478" s="107"/>
      <c r="D478" s="134"/>
      <c r="P478" s="134"/>
      <c r="Q478" s="134"/>
      <c r="R478" s="134"/>
    </row>
    <row r="479">
      <c r="A479" s="107"/>
      <c r="B479" s="107"/>
      <c r="D479" s="134"/>
      <c r="P479" s="134"/>
      <c r="Q479" s="134"/>
      <c r="R479" s="134"/>
    </row>
    <row r="480">
      <c r="A480" s="107"/>
      <c r="B480" s="107"/>
      <c r="D480" s="134"/>
      <c r="P480" s="134"/>
      <c r="Q480" s="134"/>
      <c r="R480" s="134"/>
    </row>
    <row r="481">
      <c r="A481" s="107"/>
      <c r="B481" s="107"/>
      <c r="D481" s="134"/>
      <c r="P481" s="134"/>
      <c r="Q481" s="134"/>
      <c r="R481" s="134"/>
    </row>
    <row r="482">
      <c r="A482" s="107"/>
      <c r="B482" s="107"/>
      <c r="D482" s="134"/>
      <c r="P482" s="134"/>
      <c r="Q482" s="134"/>
      <c r="R482" s="134"/>
    </row>
    <row r="483">
      <c r="A483" s="107"/>
      <c r="B483" s="107"/>
      <c r="D483" s="134"/>
      <c r="P483" s="134"/>
      <c r="Q483" s="134"/>
      <c r="R483" s="134"/>
    </row>
    <row r="484">
      <c r="A484" s="107"/>
      <c r="B484" s="107"/>
      <c r="D484" s="134"/>
      <c r="P484" s="134"/>
      <c r="Q484" s="134"/>
      <c r="R484" s="134"/>
    </row>
    <row r="485">
      <c r="A485" s="107"/>
      <c r="B485" s="107"/>
      <c r="D485" s="134"/>
      <c r="P485" s="134"/>
      <c r="Q485" s="134"/>
      <c r="R485" s="134"/>
    </row>
    <row r="486">
      <c r="A486" s="107"/>
      <c r="B486" s="107"/>
      <c r="D486" s="134"/>
      <c r="P486" s="134"/>
      <c r="Q486" s="134"/>
      <c r="R486" s="134"/>
    </row>
    <row r="487">
      <c r="A487" s="107"/>
      <c r="B487" s="107"/>
      <c r="D487" s="134"/>
      <c r="P487" s="134"/>
      <c r="Q487" s="134"/>
      <c r="R487" s="134"/>
    </row>
    <row r="488">
      <c r="A488" s="107"/>
      <c r="B488" s="107"/>
      <c r="D488" s="134"/>
      <c r="P488" s="134"/>
      <c r="Q488" s="134"/>
      <c r="R488" s="134"/>
    </row>
    <row r="489">
      <c r="A489" s="107"/>
      <c r="B489" s="107"/>
      <c r="D489" s="134"/>
      <c r="P489" s="134"/>
      <c r="Q489" s="134"/>
      <c r="R489" s="134"/>
    </row>
    <row r="490">
      <c r="A490" s="107"/>
      <c r="B490" s="107"/>
      <c r="D490" s="134"/>
      <c r="P490" s="134"/>
      <c r="Q490" s="134"/>
      <c r="R490" s="134"/>
    </row>
    <row r="491">
      <c r="A491" s="107"/>
      <c r="B491" s="107"/>
      <c r="D491" s="134"/>
      <c r="P491" s="134"/>
      <c r="Q491" s="134"/>
      <c r="R491" s="134"/>
    </row>
    <row r="492">
      <c r="A492" s="107"/>
      <c r="B492" s="107"/>
      <c r="D492" s="134"/>
      <c r="P492" s="134"/>
      <c r="Q492" s="134"/>
      <c r="R492" s="134"/>
    </row>
    <row r="493">
      <c r="A493" s="107"/>
      <c r="B493" s="107"/>
      <c r="D493" s="134"/>
      <c r="P493" s="134"/>
      <c r="Q493" s="134"/>
      <c r="R493" s="134"/>
    </row>
    <row r="494">
      <c r="A494" s="107"/>
      <c r="B494" s="107"/>
      <c r="D494" s="134"/>
      <c r="P494" s="134"/>
      <c r="Q494" s="134"/>
      <c r="R494" s="134"/>
    </row>
    <row r="495">
      <c r="A495" s="107"/>
      <c r="B495" s="107"/>
      <c r="D495" s="134"/>
      <c r="P495" s="134"/>
      <c r="Q495" s="134"/>
      <c r="R495" s="134"/>
    </row>
    <row r="496">
      <c r="A496" s="107"/>
      <c r="B496" s="107"/>
      <c r="D496" s="134"/>
      <c r="P496" s="134"/>
      <c r="Q496" s="134"/>
      <c r="R496" s="134"/>
    </row>
    <row r="497">
      <c r="A497" s="107"/>
      <c r="B497" s="107"/>
      <c r="D497" s="134"/>
      <c r="P497" s="134"/>
      <c r="Q497" s="134"/>
      <c r="R497" s="134"/>
    </row>
    <row r="498">
      <c r="A498" s="107"/>
      <c r="B498" s="107"/>
      <c r="D498" s="134"/>
      <c r="P498" s="134"/>
      <c r="Q498" s="134"/>
      <c r="R498" s="134"/>
    </row>
    <row r="499">
      <c r="A499" s="107"/>
      <c r="B499" s="107"/>
      <c r="D499" s="134"/>
      <c r="P499" s="134"/>
      <c r="Q499" s="134"/>
      <c r="R499" s="134"/>
    </row>
    <row r="500">
      <c r="A500" s="107"/>
      <c r="B500" s="107"/>
      <c r="D500" s="134"/>
      <c r="P500" s="134"/>
      <c r="Q500" s="134"/>
      <c r="R500" s="134"/>
    </row>
    <row r="501">
      <c r="A501" s="107"/>
      <c r="B501" s="107"/>
      <c r="D501" s="134"/>
      <c r="P501" s="134"/>
      <c r="Q501" s="134"/>
      <c r="R501" s="134"/>
    </row>
    <row r="502">
      <c r="A502" s="107"/>
      <c r="B502" s="107"/>
      <c r="D502" s="134"/>
      <c r="P502" s="134"/>
      <c r="Q502" s="134"/>
      <c r="R502" s="134"/>
    </row>
    <row r="503">
      <c r="A503" s="107"/>
      <c r="B503" s="107"/>
      <c r="D503" s="134"/>
      <c r="P503" s="134"/>
      <c r="Q503" s="134"/>
      <c r="R503" s="134"/>
    </row>
    <row r="504">
      <c r="A504" s="107"/>
      <c r="B504" s="107"/>
      <c r="D504" s="134"/>
      <c r="P504" s="134"/>
      <c r="Q504" s="134"/>
      <c r="R504" s="134"/>
    </row>
    <row r="505">
      <c r="A505" s="107"/>
      <c r="B505" s="107"/>
      <c r="D505" s="134"/>
      <c r="P505" s="134"/>
      <c r="Q505" s="134"/>
      <c r="R505" s="134"/>
    </row>
    <row r="506">
      <c r="A506" s="107"/>
      <c r="B506" s="107"/>
      <c r="D506" s="134"/>
      <c r="P506" s="134"/>
      <c r="Q506" s="134"/>
      <c r="R506" s="134"/>
    </row>
    <row r="507">
      <c r="A507" s="107"/>
      <c r="B507" s="107"/>
      <c r="D507" s="134"/>
      <c r="P507" s="134"/>
      <c r="Q507" s="134"/>
      <c r="R507" s="134"/>
    </row>
    <row r="508">
      <c r="A508" s="107"/>
      <c r="B508" s="107"/>
      <c r="D508" s="134"/>
      <c r="P508" s="134"/>
      <c r="Q508" s="134"/>
      <c r="R508" s="134"/>
    </row>
    <row r="509">
      <c r="A509" s="107"/>
      <c r="B509" s="107"/>
      <c r="D509" s="134"/>
      <c r="P509" s="134"/>
      <c r="Q509" s="134"/>
      <c r="R509" s="134"/>
    </row>
    <row r="510">
      <c r="A510" s="107"/>
      <c r="B510" s="107"/>
      <c r="D510" s="134"/>
      <c r="P510" s="134"/>
      <c r="Q510" s="134"/>
      <c r="R510" s="134"/>
    </row>
    <row r="511">
      <c r="A511" s="107"/>
      <c r="B511" s="107"/>
      <c r="D511" s="134"/>
      <c r="P511" s="134"/>
      <c r="Q511" s="134"/>
      <c r="R511" s="134"/>
    </row>
    <row r="512">
      <c r="A512" s="107"/>
      <c r="B512" s="107"/>
      <c r="D512" s="134"/>
      <c r="P512" s="134"/>
      <c r="Q512" s="134"/>
      <c r="R512" s="134"/>
    </row>
    <row r="513">
      <c r="A513" s="107"/>
      <c r="B513" s="107"/>
      <c r="D513" s="134"/>
      <c r="P513" s="134"/>
      <c r="Q513" s="134"/>
      <c r="R513" s="134"/>
    </row>
    <row r="514">
      <c r="A514" s="107"/>
      <c r="B514" s="107"/>
      <c r="D514" s="134"/>
      <c r="P514" s="134"/>
      <c r="Q514" s="134"/>
      <c r="R514" s="134"/>
    </row>
    <row r="515">
      <c r="A515" s="107"/>
      <c r="B515" s="107"/>
      <c r="D515" s="134"/>
      <c r="P515" s="134"/>
      <c r="Q515" s="134"/>
      <c r="R515" s="134"/>
    </row>
    <row r="516">
      <c r="A516" s="107"/>
      <c r="B516" s="107"/>
      <c r="D516" s="134"/>
      <c r="P516" s="134"/>
      <c r="Q516" s="134"/>
      <c r="R516" s="134"/>
    </row>
    <row r="517">
      <c r="A517" s="107"/>
      <c r="B517" s="107"/>
      <c r="D517" s="134"/>
      <c r="P517" s="134"/>
      <c r="Q517" s="134"/>
      <c r="R517" s="134"/>
    </row>
    <row r="518">
      <c r="A518" s="107"/>
      <c r="B518" s="107"/>
      <c r="D518" s="134"/>
      <c r="P518" s="134"/>
      <c r="Q518" s="134"/>
      <c r="R518" s="134"/>
    </row>
    <row r="519">
      <c r="A519" s="107"/>
      <c r="B519" s="107"/>
      <c r="D519" s="134"/>
      <c r="P519" s="134"/>
      <c r="Q519" s="134"/>
      <c r="R519" s="134"/>
    </row>
    <row r="520">
      <c r="A520" s="107"/>
      <c r="B520" s="107"/>
      <c r="D520" s="134"/>
      <c r="P520" s="134"/>
      <c r="Q520" s="134"/>
      <c r="R520" s="134"/>
    </row>
    <row r="521">
      <c r="A521" s="107"/>
      <c r="B521" s="107"/>
      <c r="D521" s="134"/>
      <c r="P521" s="134"/>
      <c r="Q521" s="134"/>
      <c r="R521" s="134"/>
    </row>
    <row r="522">
      <c r="A522" s="107"/>
      <c r="B522" s="107"/>
      <c r="D522" s="134"/>
      <c r="P522" s="134"/>
      <c r="Q522" s="134"/>
      <c r="R522" s="134"/>
    </row>
    <row r="523">
      <c r="A523" s="107"/>
      <c r="B523" s="107"/>
      <c r="D523" s="134"/>
      <c r="P523" s="134"/>
      <c r="Q523" s="134"/>
      <c r="R523" s="134"/>
    </row>
    <row r="524">
      <c r="A524" s="107"/>
      <c r="B524" s="107"/>
      <c r="D524" s="134"/>
      <c r="P524" s="134"/>
      <c r="Q524" s="134"/>
      <c r="R524" s="134"/>
    </row>
    <row r="525">
      <c r="A525" s="107"/>
      <c r="B525" s="107"/>
      <c r="D525" s="134"/>
      <c r="P525" s="134"/>
      <c r="Q525" s="134"/>
      <c r="R525" s="134"/>
    </row>
    <row r="526">
      <c r="A526" s="107"/>
      <c r="B526" s="107"/>
      <c r="D526" s="134"/>
      <c r="P526" s="134"/>
      <c r="Q526" s="134"/>
      <c r="R526" s="134"/>
    </row>
    <row r="527">
      <c r="A527" s="107"/>
      <c r="B527" s="107"/>
      <c r="D527" s="134"/>
      <c r="P527" s="134"/>
      <c r="Q527" s="134"/>
      <c r="R527" s="134"/>
    </row>
    <row r="528">
      <c r="A528" s="107"/>
      <c r="B528" s="107"/>
      <c r="D528" s="134"/>
      <c r="P528" s="134"/>
      <c r="Q528" s="134"/>
      <c r="R528" s="134"/>
    </row>
    <row r="529">
      <c r="A529" s="107"/>
      <c r="B529" s="107"/>
      <c r="D529" s="134"/>
      <c r="P529" s="134"/>
      <c r="Q529" s="134"/>
      <c r="R529" s="134"/>
    </row>
    <row r="530">
      <c r="A530" s="107"/>
      <c r="B530" s="107"/>
      <c r="D530" s="134"/>
      <c r="P530" s="134"/>
      <c r="Q530" s="134"/>
      <c r="R530" s="134"/>
    </row>
    <row r="531">
      <c r="A531" s="107"/>
      <c r="B531" s="107"/>
      <c r="D531" s="134"/>
      <c r="P531" s="134"/>
      <c r="Q531" s="134"/>
      <c r="R531" s="134"/>
    </row>
    <row r="532">
      <c r="A532" s="107"/>
      <c r="B532" s="107"/>
      <c r="D532" s="134"/>
      <c r="P532" s="134"/>
      <c r="Q532" s="134"/>
      <c r="R532" s="134"/>
    </row>
    <row r="533">
      <c r="A533" s="107"/>
      <c r="B533" s="107"/>
      <c r="D533" s="134"/>
      <c r="P533" s="134"/>
      <c r="Q533" s="134"/>
      <c r="R533" s="134"/>
    </row>
    <row r="534">
      <c r="A534" s="107"/>
      <c r="B534" s="107"/>
      <c r="D534" s="134"/>
      <c r="P534" s="134"/>
      <c r="Q534" s="134"/>
      <c r="R534" s="134"/>
    </row>
    <row r="535">
      <c r="A535" s="107"/>
      <c r="B535" s="107"/>
      <c r="D535" s="134"/>
      <c r="P535" s="134"/>
      <c r="Q535" s="134"/>
      <c r="R535" s="134"/>
    </row>
    <row r="536">
      <c r="A536" s="107"/>
      <c r="B536" s="107"/>
      <c r="D536" s="134"/>
      <c r="P536" s="134"/>
      <c r="Q536" s="134"/>
      <c r="R536" s="134"/>
    </row>
    <row r="537">
      <c r="A537" s="107"/>
      <c r="B537" s="107"/>
      <c r="D537" s="134"/>
      <c r="P537" s="134"/>
      <c r="Q537" s="134"/>
      <c r="R537" s="134"/>
    </row>
    <row r="538">
      <c r="A538" s="107"/>
      <c r="B538" s="107"/>
      <c r="D538" s="134"/>
      <c r="P538" s="134"/>
      <c r="Q538" s="134"/>
      <c r="R538" s="134"/>
    </row>
    <row r="539">
      <c r="A539" s="107"/>
      <c r="B539" s="107"/>
      <c r="D539" s="134"/>
      <c r="P539" s="134"/>
      <c r="Q539" s="134"/>
      <c r="R539" s="134"/>
    </row>
    <row r="540">
      <c r="A540" s="107"/>
      <c r="B540" s="107"/>
      <c r="D540" s="134"/>
      <c r="P540" s="134"/>
      <c r="Q540" s="134"/>
      <c r="R540" s="134"/>
    </row>
    <row r="541">
      <c r="A541" s="107"/>
      <c r="B541" s="107"/>
      <c r="D541" s="134"/>
      <c r="P541" s="134"/>
      <c r="Q541" s="134"/>
      <c r="R541" s="134"/>
    </row>
    <row r="542">
      <c r="A542" s="107"/>
      <c r="B542" s="107"/>
      <c r="D542" s="134"/>
      <c r="P542" s="134"/>
      <c r="Q542" s="134"/>
      <c r="R542" s="134"/>
    </row>
    <row r="543">
      <c r="A543" s="107"/>
      <c r="B543" s="107"/>
      <c r="D543" s="134"/>
      <c r="P543" s="134"/>
      <c r="Q543" s="134"/>
      <c r="R543" s="134"/>
    </row>
    <row r="544">
      <c r="A544" s="107"/>
      <c r="B544" s="107"/>
      <c r="D544" s="134"/>
      <c r="P544" s="134"/>
      <c r="Q544" s="134"/>
      <c r="R544" s="134"/>
    </row>
    <row r="545">
      <c r="A545" s="107"/>
      <c r="B545" s="107"/>
      <c r="D545" s="134"/>
      <c r="P545" s="134"/>
      <c r="Q545" s="134"/>
      <c r="R545" s="134"/>
    </row>
    <row r="546">
      <c r="A546" s="107"/>
      <c r="B546" s="107"/>
      <c r="D546" s="134"/>
      <c r="P546" s="134"/>
      <c r="Q546" s="134"/>
      <c r="R546" s="134"/>
    </row>
    <row r="547">
      <c r="A547" s="107"/>
      <c r="B547" s="107"/>
      <c r="D547" s="134"/>
      <c r="P547" s="134"/>
      <c r="Q547" s="134"/>
      <c r="R547" s="134"/>
    </row>
    <row r="548">
      <c r="A548" s="107"/>
      <c r="B548" s="107"/>
      <c r="D548" s="134"/>
      <c r="P548" s="134"/>
      <c r="Q548" s="134"/>
      <c r="R548" s="134"/>
    </row>
    <row r="549">
      <c r="A549" s="107"/>
      <c r="B549" s="107"/>
      <c r="D549" s="134"/>
      <c r="P549" s="134"/>
      <c r="Q549" s="134"/>
      <c r="R549" s="134"/>
    </row>
    <row r="550">
      <c r="A550" s="107"/>
      <c r="B550" s="107"/>
      <c r="D550" s="134"/>
      <c r="P550" s="134"/>
      <c r="Q550" s="134"/>
      <c r="R550" s="134"/>
    </row>
    <row r="551">
      <c r="A551" s="107"/>
      <c r="B551" s="107"/>
      <c r="D551" s="134"/>
      <c r="P551" s="134"/>
      <c r="Q551" s="134"/>
      <c r="R551" s="134"/>
    </row>
    <row r="552">
      <c r="A552" s="107"/>
      <c r="B552" s="107"/>
      <c r="D552" s="134"/>
      <c r="P552" s="134"/>
      <c r="Q552" s="134"/>
      <c r="R552" s="134"/>
    </row>
    <row r="553">
      <c r="A553" s="107"/>
      <c r="B553" s="107"/>
      <c r="D553" s="134"/>
      <c r="P553" s="134"/>
      <c r="Q553" s="134"/>
      <c r="R553" s="134"/>
    </row>
    <row r="554">
      <c r="A554" s="107"/>
      <c r="B554" s="107"/>
      <c r="D554" s="134"/>
      <c r="P554" s="134"/>
      <c r="Q554" s="134"/>
      <c r="R554" s="134"/>
    </row>
    <row r="555">
      <c r="A555" s="107"/>
      <c r="B555" s="107"/>
      <c r="D555" s="134"/>
      <c r="P555" s="134"/>
      <c r="Q555" s="134"/>
      <c r="R555" s="134"/>
    </row>
    <row r="556">
      <c r="A556" s="107"/>
      <c r="B556" s="107"/>
      <c r="D556" s="134"/>
      <c r="P556" s="134"/>
      <c r="Q556" s="134"/>
      <c r="R556" s="134"/>
    </row>
    <row r="557">
      <c r="A557" s="107"/>
      <c r="B557" s="107"/>
      <c r="D557" s="134"/>
      <c r="P557" s="134"/>
      <c r="Q557" s="134"/>
      <c r="R557" s="134"/>
    </row>
    <row r="558">
      <c r="A558" s="107"/>
      <c r="B558" s="107"/>
      <c r="D558" s="134"/>
      <c r="P558" s="134"/>
      <c r="Q558" s="134"/>
      <c r="R558" s="134"/>
    </row>
    <row r="559">
      <c r="A559" s="107"/>
      <c r="B559" s="107"/>
      <c r="D559" s="134"/>
      <c r="P559" s="134"/>
      <c r="Q559" s="134"/>
      <c r="R559" s="134"/>
    </row>
    <row r="560">
      <c r="A560" s="107"/>
      <c r="B560" s="107"/>
      <c r="D560" s="134"/>
      <c r="P560" s="134"/>
      <c r="Q560" s="134"/>
      <c r="R560" s="134"/>
    </row>
    <row r="561">
      <c r="A561" s="107"/>
      <c r="B561" s="107"/>
      <c r="D561" s="134"/>
      <c r="P561" s="134"/>
      <c r="Q561" s="134"/>
      <c r="R561" s="134"/>
    </row>
    <row r="562">
      <c r="A562" s="107"/>
      <c r="B562" s="107"/>
      <c r="D562" s="134"/>
      <c r="P562" s="134"/>
      <c r="Q562" s="134"/>
      <c r="R562" s="134"/>
    </row>
    <row r="563">
      <c r="A563" s="107"/>
      <c r="B563" s="107"/>
      <c r="D563" s="134"/>
      <c r="P563" s="134"/>
      <c r="Q563" s="134"/>
      <c r="R563" s="134"/>
    </row>
    <row r="564">
      <c r="A564" s="107"/>
      <c r="B564" s="107"/>
      <c r="D564" s="134"/>
      <c r="P564" s="134"/>
      <c r="Q564" s="134"/>
      <c r="R564" s="134"/>
    </row>
    <row r="565">
      <c r="A565" s="107"/>
      <c r="B565" s="107"/>
      <c r="D565" s="134"/>
      <c r="P565" s="134"/>
      <c r="Q565" s="134"/>
      <c r="R565" s="134"/>
    </row>
    <row r="566">
      <c r="A566" s="107"/>
      <c r="B566" s="107"/>
      <c r="D566" s="134"/>
      <c r="P566" s="134"/>
      <c r="Q566" s="134"/>
      <c r="R566" s="134"/>
    </row>
    <row r="567">
      <c r="A567" s="107"/>
      <c r="B567" s="107"/>
      <c r="D567" s="134"/>
      <c r="P567" s="134"/>
      <c r="Q567" s="134"/>
      <c r="R567" s="134"/>
    </row>
    <row r="568">
      <c r="A568" s="107"/>
      <c r="B568" s="107"/>
      <c r="D568" s="134"/>
      <c r="P568" s="134"/>
      <c r="Q568" s="134"/>
      <c r="R568" s="134"/>
    </row>
    <row r="569">
      <c r="A569" s="107"/>
      <c r="B569" s="107"/>
      <c r="D569" s="134"/>
      <c r="P569" s="134"/>
      <c r="Q569" s="134"/>
      <c r="R569" s="134"/>
    </row>
    <row r="570">
      <c r="A570" s="107"/>
      <c r="B570" s="107"/>
      <c r="D570" s="134"/>
      <c r="P570" s="134"/>
      <c r="Q570" s="134"/>
      <c r="R570" s="134"/>
    </row>
    <row r="571">
      <c r="A571" s="107"/>
      <c r="B571" s="107"/>
      <c r="D571" s="134"/>
      <c r="P571" s="134"/>
      <c r="Q571" s="134"/>
      <c r="R571" s="134"/>
    </row>
    <row r="572">
      <c r="A572" s="107"/>
      <c r="B572" s="107"/>
      <c r="D572" s="134"/>
      <c r="P572" s="134"/>
      <c r="Q572" s="134"/>
      <c r="R572" s="134"/>
    </row>
    <row r="573">
      <c r="A573" s="107"/>
      <c r="B573" s="107"/>
      <c r="D573" s="134"/>
      <c r="P573" s="134"/>
      <c r="Q573" s="134"/>
      <c r="R573" s="134"/>
    </row>
    <row r="574">
      <c r="A574" s="107"/>
      <c r="B574" s="107"/>
      <c r="D574" s="134"/>
      <c r="P574" s="134"/>
      <c r="Q574" s="134"/>
      <c r="R574" s="134"/>
    </row>
    <row r="575">
      <c r="A575" s="107"/>
      <c r="B575" s="107"/>
      <c r="D575" s="134"/>
      <c r="P575" s="134"/>
      <c r="Q575" s="134"/>
      <c r="R575" s="134"/>
    </row>
    <row r="576">
      <c r="A576" s="107"/>
      <c r="B576" s="107"/>
      <c r="D576" s="134"/>
      <c r="P576" s="134"/>
      <c r="Q576" s="134"/>
      <c r="R576" s="134"/>
    </row>
    <row r="577">
      <c r="A577" s="107"/>
      <c r="B577" s="107"/>
      <c r="D577" s="134"/>
      <c r="P577" s="134"/>
      <c r="Q577" s="134"/>
      <c r="R577" s="134"/>
    </row>
    <row r="578">
      <c r="A578" s="107"/>
      <c r="B578" s="107"/>
      <c r="D578" s="134"/>
      <c r="P578" s="134"/>
      <c r="Q578" s="134"/>
      <c r="R578" s="134"/>
    </row>
    <row r="579">
      <c r="A579" s="107"/>
      <c r="B579" s="107"/>
      <c r="D579" s="134"/>
      <c r="P579" s="134"/>
      <c r="Q579" s="134"/>
      <c r="R579" s="134"/>
    </row>
    <row r="580">
      <c r="A580" s="107"/>
      <c r="B580" s="107"/>
      <c r="D580" s="134"/>
      <c r="P580" s="134"/>
      <c r="Q580" s="134"/>
      <c r="R580" s="134"/>
    </row>
    <row r="581">
      <c r="A581" s="107"/>
      <c r="B581" s="107"/>
      <c r="D581" s="134"/>
      <c r="P581" s="134"/>
      <c r="Q581" s="134"/>
      <c r="R581" s="134"/>
    </row>
    <row r="582">
      <c r="A582" s="107"/>
      <c r="B582" s="107"/>
      <c r="D582" s="134"/>
      <c r="P582" s="134"/>
      <c r="Q582" s="134"/>
      <c r="R582" s="134"/>
    </row>
    <row r="583">
      <c r="A583" s="107"/>
      <c r="B583" s="107"/>
      <c r="D583" s="134"/>
      <c r="P583" s="134"/>
      <c r="Q583" s="134"/>
      <c r="R583" s="134"/>
    </row>
    <row r="584">
      <c r="A584" s="107"/>
      <c r="B584" s="107"/>
      <c r="D584" s="134"/>
      <c r="P584" s="134"/>
      <c r="Q584" s="134"/>
      <c r="R584" s="134"/>
    </row>
    <row r="585">
      <c r="A585" s="107"/>
      <c r="B585" s="107"/>
      <c r="D585" s="134"/>
      <c r="P585" s="134"/>
      <c r="Q585" s="134"/>
      <c r="R585" s="134"/>
    </row>
    <row r="586">
      <c r="A586" s="107"/>
      <c r="B586" s="107"/>
      <c r="D586" s="134"/>
      <c r="P586" s="134"/>
      <c r="Q586" s="134"/>
      <c r="R586" s="134"/>
    </row>
    <row r="587">
      <c r="A587" s="107"/>
      <c r="B587" s="107"/>
      <c r="D587" s="134"/>
      <c r="P587" s="134"/>
      <c r="Q587" s="134"/>
      <c r="R587" s="134"/>
    </row>
    <row r="588">
      <c r="A588" s="107"/>
      <c r="B588" s="107"/>
      <c r="D588" s="134"/>
      <c r="P588" s="134"/>
      <c r="Q588" s="134"/>
      <c r="R588" s="134"/>
    </row>
    <row r="589">
      <c r="A589" s="107"/>
      <c r="B589" s="107"/>
      <c r="D589" s="134"/>
      <c r="P589" s="134"/>
      <c r="Q589" s="134"/>
      <c r="R589" s="134"/>
    </row>
    <row r="590">
      <c r="A590" s="107"/>
      <c r="B590" s="107"/>
      <c r="D590" s="134"/>
      <c r="P590" s="134"/>
      <c r="Q590" s="134"/>
      <c r="R590" s="134"/>
    </row>
    <row r="591">
      <c r="A591" s="107"/>
      <c r="B591" s="107"/>
      <c r="D591" s="134"/>
      <c r="P591" s="134"/>
      <c r="Q591" s="134"/>
      <c r="R591" s="134"/>
    </row>
    <row r="592">
      <c r="A592" s="107"/>
      <c r="B592" s="107"/>
      <c r="D592" s="134"/>
      <c r="P592" s="134"/>
      <c r="Q592" s="134"/>
      <c r="R592" s="134"/>
    </row>
    <row r="593">
      <c r="A593" s="107"/>
      <c r="B593" s="107"/>
      <c r="D593" s="134"/>
      <c r="P593" s="134"/>
      <c r="Q593" s="134"/>
      <c r="R593" s="134"/>
    </row>
    <row r="594">
      <c r="A594" s="107"/>
      <c r="B594" s="107"/>
      <c r="D594" s="134"/>
      <c r="P594" s="134"/>
      <c r="Q594" s="134"/>
      <c r="R594" s="134"/>
    </row>
    <row r="595">
      <c r="A595" s="107"/>
      <c r="B595" s="107"/>
      <c r="D595" s="134"/>
      <c r="P595" s="134"/>
      <c r="Q595" s="134"/>
      <c r="R595" s="134"/>
    </row>
    <row r="596">
      <c r="A596" s="107"/>
      <c r="B596" s="107"/>
      <c r="D596" s="134"/>
      <c r="P596" s="134"/>
      <c r="Q596" s="134"/>
      <c r="R596" s="134"/>
    </row>
    <row r="597">
      <c r="A597" s="107"/>
      <c r="B597" s="107"/>
      <c r="D597" s="134"/>
      <c r="P597" s="134"/>
      <c r="Q597" s="134"/>
      <c r="R597" s="134"/>
    </row>
    <row r="598">
      <c r="A598" s="107"/>
      <c r="B598" s="107"/>
      <c r="D598" s="134"/>
      <c r="P598" s="134"/>
      <c r="Q598" s="134"/>
      <c r="R598" s="134"/>
    </row>
    <row r="599">
      <c r="A599" s="107"/>
      <c r="B599" s="107"/>
      <c r="D599" s="134"/>
      <c r="P599" s="134"/>
      <c r="Q599" s="134"/>
      <c r="R599" s="134"/>
    </row>
    <row r="600">
      <c r="A600" s="107"/>
      <c r="B600" s="107"/>
      <c r="D600" s="134"/>
      <c r="P600" s="134"/>
      <c r="Q600" s="134"/>
      <c r="R600" s="134"/>
    </row>
    <row r="601">
      <c r="A601" s="107"/>
      <c r="B601" s="107"/>
      <c r="D601" s="134"/>
      <c r="P601" s="134"/>
      <c r="Q601" s="134"/>
      <c r="R601" s="134"/>
    </row>
    <row r="602">
      <c r="A602" s="107"/>
      <c r="B602" s="107"/>
      <c r="D602" s="134"/>
      <c r="P602" s="134"/>
      <c r="Q602" s="134"/>
      <c r="R602" s="134"/>
    </row>
    <row r="603">
      <c r="A603" s="107"/>
      <c r="B603" s="107"/>
      <c r="D603" s="134"/>
      <c r="P603" s="134"/>
      <c r="Q603" s="134"/>
      <c r="R603" s="134"/>
    </row>
    <row r="604">
      <c r="A604" s="107"/>
      <c r="B604" s="107"/>
      <c r="D604" s="134"/>
      <c r="P604" s="134"/>
      <c r="Q604" s="134"/>
      <c r="R604" s="134"/>
    </row>
    <row r="605">
      <c r="A605" s="107"/>
      <c r="B605" s="107"/>
      <c r="D605" s="134"/>
      <c r="P605" s="134"/>
      <c r="Q605" s="134"/>
      <c r="R605" s="134"/>
    </row>
    <row r="606">
      <c r="A606" s="107"/>
      <c r="B606" s="107"/>
      <c r="D606" s="134"/>
      <c r="P606" s="134"/>
      <c r="Q606" s="134"/>
      <c r="R606" s="134"/>
    </row>
    <row r="607">
      <c r="A607" s="107"/>
      <c r="B607" s="107"/>
      <c r="D607" s="134"/>
      <c r="P607" s="134"/>
      <c r="Q607" s="134"/>
      <c r="R607" s="134"/>
    </row>
    <row r="608">
      <c r="A608" s="107"/>
      <c r="B608" s="107"/>
      <c r="D608" s="134"/>
      <c r="P608" s="134"/>
      <c r="Q608" s="134"/>
      <c r="R608" s="134"/>
    </row>
    <row r="609">
      <c r="A609" s="107"/>
      <c r="B609" s="107"/>
      <c r="D609" s="134"/>
      <c r="P609" s="134"/>
      <c r="Q609" s="134"/>
      <c r="R609" s="134"/>
    </row>
    <row r="610">
      <c r="A610" s="107"/>
      <c r="B610" s="107"/>
      <c r="D610" s="134"/>
      <c r="P610" s="134"/>
      <c r="Q610" s="134"/>
      <c r="R610" s="134"/>
    </row>
    <row r="611">
      <c r="A611" s="107"/>
      <c r="B611" s="107"/>
      <c r="D611" s="134"/>
      <c r="P611" s="134"/>
      <c r="Q611" s="134"/>
      <c r="R611" s="134"/>
    </row>
    <row r="612">
      <c r="A612" s="107"/>
      <c r="B612" s="107"/>
      <c r="D612" s="134"/>
      <c r="P612" s="134"/>
      <c r="Q612" s="134"/>
      <c r="R612" s="134"/>
    </row>
    <row r="613">
      <c r="A613" s="107"/>
      <c r="B613" s="107"/>
      <c r="D613" s="134"/>
      <c r="P613" s="134"/>
      <c r="Q613" s="134"/>
      <c r="R613" s="134"/>
    </row>
    <row r="614">
      <c r="A614" s="107"/>
      <c r="B614" s="107"/>
      <c r="D614" s="134"/>
      <c r="P614" s="134"/>
      <c r="Q614" s="134"/>
      <c r="R614" s="134"/>
    </row>
    <row r="615">
      <c r="A615" s="107"/>
      <c r="B615" s="107"/>
      <c r="D615" s="134"/>
      <c r="P615" s="134"/>
      <c r="Q615" s="134"/>
      <c r="R615" s="134"/>
    </row>
    <row r="616">
      <c r="A616" s="107"/>
      <c r="B616" s="107"/>
      <c r="D616" s="134"/>
      <c r="P616" s="134"/>
      <c r="Q616" s="134"/>
      <c r="R616" s="134"/>
    </row>
    <row r="617">
      <c r="A617" s="107"/>
      <c r="B617" s="107"/>
      <c r="D617" s="134"/>
      <c r="P617" s="134"/>
      <c r="Q617" s="134"/>
      <c r="R617" s="134"/>
    </row>
    <row r="618">
      <c r="A618" s="107"/>
      <c r="B618" s="107"/>
      <c r="D618" s="134"/>
      <c r="P618" s="134"/>
      <c r="Q618" s="134"/>
      <c r="R618" s="134"/>
    </row>
    <row r="619">
      <c r="A619" s="107"/>
      <c r="B619" s="107"/>
      <c r="D619" s="134"/>
      <c r="P619" s="134"/>
      <c r="Q619" s="134"/>
      <c r="R619" s="134"/>
    </row>
    <row r="620">
      <c r="A620" s="107"/>
      <c r="B620" s="107"/>
      <c r="D620" s="134"/>
      <c r="P620" s="134"/>
      <c r="Q620" s="134"/>
      <c r="R620" s="134"/>
    </row>
    <row r="621">
      <c r="A621" s="107"/>
      <c r="B621" s="107"/>
      <c r="D621" s="134"/>
      <c r="P621" s="134"/>
      <c r="Q621" s="134"/>
      <c r="R621" s="134"/>
    </row>
    <row r="622">
      <c r="A622" s="107"/>
      <c r="B622" s="107"/>
      <c r="D622" s="134"/>
      <c r="P622" s="134"/>
      <c r="Q622" s="134"/>
      <c r="R622" s="134"/>
    </row>
    <row r="623">
      <c r="A623" s="107"/>
      <c r="B623" s="107"/>
      <c r="D623" s="134"/>
      <c r="P623" s="134"/>
      <c r="Q623" s="134"/>
      <c r="R623" s="134"/>
    </row>
    <row r="624">
      <c r="A624" s="107"/>
      <c r="B624" s="107"/>
      <c r="D624" s="134"/>
      <c r="P624" s="134"/>
      <c r="Q624" s="134"/>
      <c r="R624" s="134"/>
    </row>
    <row r="625">
      <c r="A625" s="107"/>
      <c r="B625" s="107"/>
      <c r="D625" s="134"/>
      <c r="P625" s="134"/>
      <c r="Q625" s="134"/>
      <c r="R625" s="134"/>
    </row>
    <row r="626">
      <c r="A626" s="107"/>
      <c r="B626" s="107"/>
      <c r="D626" s="134"/>
      <c r="P626" s="134"/>
      <c r="Q626" s="134"/>
      <c r="R626" s="134"/>
    </row>
    <row r="627">
      <c r="A627" s="107"/>
      <c r="B627" s="107"/>
      <c r="D627" s="134"/>
      <c r="P627" s="134"/>
      <c r="Q627" s="134"/>
      <c r="R627" s="134"/>
    </row>
    <row r="628">
      <c r="A628" s="107"/>
      <c r="B628" s="107"/>
      <c r="D628" s="134"/>
      <c r="P628" s="134"/>
      <c r="Q628" s="134"/>
      <c r="R628" s="134"/>
    </row>
    <row r="629">
      <c r="A629" s="107"/>
      <c r="B629" s="107"/>
      <c r="D629" s="134"/>
      <c r="P629" s="134"/>
      <c r="Q629" s="134"/>
      <c r="R629" s="134"/>
    </row>
    <row r="630">
      <c r="A630" s="107"/>
      <c r="B630" s="107"/>
      <c r="D630" s="134"/>
      <c r="P630" s="134"/>
      <c r="Q630" s="134"/>
      <c r="R630" s="134"/>
    </row>
    <row r="631">
      <c r="A631" s="107"/>
      <c r="B631" s="107"/>
      <c r="D631" s="134"/>
      <c r="P631" s="134"/>
      <c r="Q631" s="134"/>
      <c r="R631" s="134"/>
    </row>
    <row r="632">
      <c r="A632" s="107"/>
      <c r="B632" s="107"/>
      <c r="D632" s="134"/>
      <c r="P632" s="134"/>
      <c r="Q632" s="134"/>
      <c r="R632" s="134"/>
    </row>
    <row r="633">
      <c r="A633" s="107"/>
      <c r="B633" s="107"/>
      <c r="D633" s="134"/>
      <c r="P633" s="134"/>
      <c r="Q633" s="134"/>
      <c r="R633" s="134"/>
    </row>
    <row r="634">
      <c r="A634" s="107"/>
      <c r="B634" s="107"/>
      <c r="D634" s="134"/>
      <c r="P634" s="134"/>
      <c r="Q634" s="134"/>
      <c r="R634" s="134"/>
    </row>
    <row r="635">
      <c r="A635" s="107"/>
      <c r="B635" s="107"/>
      <c r="D635" s="134"/>
      <c r="P635" s="134"/>
      <c r="Q635" s="134"/>
      <c r="R635" s="134"/>
    </row>
    <row r="636">
      <c r="A636" s="107"/>
      <c r="B636" s="107"/>
      <c r="D636" s="134"/>
      <c r="P636" s="134"/>
      <c r="Q636" s="134"/>
      <c r="R636" s="134"/>
    </row>
    <row r="637">
      <c r="A637" s="107"/>
      <c r="B637" s="107"/>
      <c r="D637" s="134"/>
      <c r="P637" s="134"/>
      <c r="Q637" s="134"/>
      <c r="R637" s="134"/>
    </row>
    <row r="638">
      <c r="A638" s="107"/>
      <c r="B638" s="107"/>
      <c r="D638" s="134"/>
      <c r="P638" s="134"/>
      <c r="Q638" s="134"/>
      <c r="R638" s="134"/>
    </row>
    <row r="639">
      <c r="A639" s="107"/>
      <c r="B639" s="107"/>
      <c r="D639" s="134"/>
      <c r="P639" s="134"/>
      <c r="Q639" s="134"/>
      <c r="R639" s="134"/>
    </row>
    <row r="640">
      <c r="A640" s="107"/>
      <c r="B640" s="107"/>
      <c r="D640" s="134"/>
      <c r="P640" s="134"/>
      <c r="Q640" s="134"/>
      <c r="R640" s="134"/>
    </row>
    <row r="641">
      <c r="A641" s="107"/>
      <c r="B641" s="107"/>
      <c r="D641" s="134"/>
      <c r="P641" s="134"/>
      <c r="Q641" s="134"/>
      <c r="R641" s="134"/>
    </row>
    <row r="642">
      <c r="A642" s="107"/>
      <c r="B642" s="107"/>
      <c r="D642" s="134"/>
      <c r="P642" s="134"/>
      <c r="Q642" s="134"/>
      <c r="R642" s="134"/>
    </row>
    <row r="643">
      <c r="A643" s="107"/>
      <c r="B643" s="107"/>
      <c r="D643" s="134"/>
      <c r="P643" s="134"/>
      <c r="Q643" s="134"/>
      <c r="R643" s="134"/>
    </row>
    <row r="644">
      <c r="A644" s="107"/>
      <c r="B644" s="107"/>
      <c r="D644" s="134"/>
      <c r="P644" s="134"/>
      <c r="Q644" s="134"/>
      <c r="R644" s="134"/>
    </row>
    <row r="645">
      <c r="A645" s="107"/>
      <c r="B645" s="107"/>
      <c r="D645" s="134"/>
      <c r="P645" s="134"/>
      <c r="Q645" s="134"/>
      <c r="R645" s="134"/>
    </row>
    <row r="646">
      <c r="A646" s="107"/>
      <c r="B646" s="107"/>
      <c r="D646" s="134"/>
      <c r="P646" s="134"/>
      <c r="Q646" s="134"/>
      <c r="R646" s="134"/>
    </row>
    <row r="647">
      <c r="A647" s="107"/>
      <c r="B647" s="107"/>
      <c r="D647" s="134"/>
      <c r="P647" s="134"/>
      <c r="Q647" s="134"/>
      <c r="R647" s="134"/>
    </row>
    <row r="648">
      <c r="A648" s="107"/>
      <c r="B648" s="107"/>
      <c r="D648" s="134"/>
      <c r="P648" s="134"/>
      <c r="Q648" s="134"/>
      <c r="R648" s="134"/>
    </row>
    <row r="649">
      <c r="A649" s="107"/>
      <c r="B649" s="107"/>
      <c r="D649" s="134"/>
      <c r="P649" s="134"/>
      <c r="Q649" s="134"/>
      <c r="R649" s="134"/>
    </row>
    <row r="650">
      <c r="A650" s="107"/>
      <c r="B650" s="107"/>
      <c r="D650" s="134"/>
      <c r="P650" s="134"/>
      <c r="Q650" s="134"/>
      <c r="R650" s="134"/>
    </row>
    <row r="651">
      <c r="A651" s="107"/>
      <c r="B651" s="107"/>
      <c r="D651" s="134"/>
      <c r="P651" s="134"/>
      <c r="Q651" s="134"/>
      <c r="R651" s="134"/>
    </row>
    <row r="652">
      <c r="A652" s="107"/>
      <c r="B652" s="107"/>
      <c r="D652" s="134"/>
      <c r="P652" s="134"/>
      <c r="Q652" s="134"/>
      <c r="R652" s="134"/>
    </row>
    <row r="653">
      <c r="A653" s="107"/>
      <c r="B653" s="107"/>
      <c r="D653" s="134"/>
      <c r="P653" s="134"/>
      <c r="Q653" s="134"/>
      <c r="R653" s="134"/>
    </row>
    <row r="654">
      <c r="A654" s="107"/>
      <c r="B654" s="107"/>
      <c r="D654" s="134"/>
      <c r="P654" s="134"/>
      <c r="Q654" s="134"/>
      <c r="R654" s="134"/>
    </row>
    <row r="655">
      <c r="A655" s="107"/>
      <c r="B655" s="107"/>
      <c r="D655" s="134"/>
      <c r="P655" s="134"/>
      <c r="Q655" s="134"/>
      <c r="R655" s="134"/>
    </row>
    <row r="656">
      <c r="A656" s="107"/>
      <c r="B656" s="107"/>
      <c r="D656" s="134"/>
      <c r="P656" s="134"/>
      <c r="Q656" s="134"/>
      <c r="R656" s="134"/>
    </row>
    <row r="657">
      <c r="A657" s="107"/>
      <c r="B657" s="107"/>
      <c r="D657" s="134"/>
      <c r="P657" s="134"/>
      <c r="Q657" s="134"/>
      <c r="R657" s="134"/>
    </row>
    <row r="658">
      <c r="A658" s="107"/>
      <c r="B658" s="107"/>
      <c r="D658" s="134"/>
      <c r="P658" s="134"/>
      <c r="Q658" s="134"/>
      <c r="R658" s="134"/>
    </row>
    <row r="659">
      <c r="A659" s="107"/>
      <c r="B659" s="107"/>
      <c r="D659" s="134"/>
      <c r="P659" s="134"/>
      <c r="Q659" s="134"/>
      <c r="R659" s="134"/>
    </row>
    <row r="660">
      <c r="A660" s="107"/>
      <c r="B660" s="107"/>
      <c r="D660" s="134"/>
      <c r="P660" s="134"/>
      <c r="Q660" s="134"/>
      <c r="R660" s="134"/>
    </row>
    <row r="661">
      <c r="A661" s="107"/>
      <c r="B661" s="107"/>
      <c r="D661" s="134"/>
      <c r="P661" s="134"/>
      <c r="Q661" s="134"/>
      <c r="R661" s="134"/>
    </row>
    <row r="662">
      <c r="A662" s="107"/>
      <c r="B662" s="107"/>
      <c r="D662" s="134"/>
      <c r="P662" s="134"/>
      <c r="Q662" s="134"/>
      <c r="R662" s="134"/>
    </row>
    <row r="663">
      <c r="A663" s="107"/>
      <c r="B663" s="107"/>
      <c r="D663" s="134"/>
      <c r="P663" s="134"/>
      <c r="Q663" s="134"/>
      <c r="R663" s="134"/>
    </row>
    <row r="664">
      <c r="A664" s="107"/>
      <c r="B664" s="107"/>
      <c r="D664" s="134"/>
      <c r="P664" s="134"/>
      <c r="Q664" s="134"/>
      <c r="R664" s="134"/>
    </row>
    <row r="665">
      <c r="A665" s="107"/>
      <c r="B665" s="107"/>
      <c r="D665" s="134"/>
      <c r="P665" s="134"/>
      <c r="Q665" s="134"/>
      <c r="R665" s="134"/>
    </row>
    <row r="666">
      <c r="A666" s="107"/>
      <c r="B666" s="107"/>
      <c r="D666" s="134"/>
      <c r="P666" s="134"/>
      <c r="Q666" s="134"/>
      <c r="R666" s="134"/>
    </row>
    <row r="667">
      <c r="A667" s="107"/>
      <c r="B667" s="107"/>
      <c r="D667" s="134"/>
      <c r="P667" s="134"/>
      <c r="Q667" s="134"/>
      <c r="R667" s="134"/>
    </row>
    <row r="668">
      <c r="A668" s="107"/>
      <c r="B668" s="107"/>
      <c r="D668" s="134"/>
      <c r="P668" s="134"/>
      <c r="Q668" s="134"/>
      <c r="R668" s="134"/>
    </row>
    <row r="669">
      <c r="A669" s="107"/>
      <c r="B669" s="107"/>
      <c r="D669" s="134"/>
      <c r="P669" s="134"/>
      <c r="Q669" s="134"/>
      <c r="R669" s="134"/>
    </row>
    <row r="670">
      <c r="A670" s="107"/>
      <c r="B670" s="107"/>
      <c r="D670" s="134"/>
      <c r="P670" s="134"/>
      <c r="Q670" s="134"/>
      <c r="R670" s="134"/>
    </row>
    <row r="671">
      <c r="A671" s="107"/>
      <c r="B671" s="107"/>
      <c r="D671" s="134"/>
      <c r="P671" s="134"/>
      <c r="Q671" s="134"/>
      <c r="R671" s="134"/>
    </row>
    <row r="672">
      <c r="A672" s="107"/>
      <c r="B672" s="107"/>
      <c r="D672" s="134"/>
      <c r="P672" s="134"/>
      <c r="Q672" s="134"/>
      <c r="R672" s="134"/>
    </row>
    <row r="673">
      <c r="A673" s="107"/>
      <c r="B673" s="107"/>
      <c r="D673" s="134"/>
      <c r="P673" s="134"/>
      <c r="Q673" s="134"/>
      <c r="R673" s="134"/>
    </row>
    <row r="674">
      <c r="A674" s="107"/>
      <c r="B674" s="107"/>
      <c r="D674" s="134"/>
      <c r="P674" s="134"/>
      <c r="Q674" s="134"/>
      <c r="R674" s="134"/>
    </row>
    <row r="675">
      <c r="A675" s="107"/>
      <c r="B675" s="107"/>
      <c r="D675" s="134"/>
      <c r="P675" s="134"/>
      <c r="Q675" s="134"/>
      <c r="R675" s="134"/>
    </row>
    <row r="676">
      <c r="A676" s="107"/>
      <c r="B676" s="107"/>
      <c r="D676" s="134"/>
      <c r="P676" s="134"/>
      <c r="Q676" s="134"/>
      <c r="R676" s="134"/>
    </row>
    <row r="677">
      <c r="A677" s="107"/>
      <c r="B677" s="107"/>
      <c r="D677" s="134"/>
      <c r="P677" s="134"/>
      <c r="Q677" s="134"/>
      <c r="R677" s="134"/>
    </row>
    <row r="678">
      <c r="A678" s="107"/>
      <c r="B678" s="107"/>
      <c r="D678" s="134"/>
      <c r="P678" s="134"/>
      <c r="Q678" s="134"/>
      <c r="R678" s="134"/>
    </row>
    <row r="679">
      <c r="A679" s="107"/>
      <c r="B679" s="107"/>
      <c r="D679" s="134"/>
      <c r="P679" s="134"/>
      <c r="Q679" s="134"/>
      <c r="R679" s="134"/>
    </row>
    <row r="680">
      <c r="A680" s="107"/>
      <c r="B680" s="107"/>
      <c r="D680" s="134"/>
      <c r="P680" s="134"/>
      <c r="Q680" s="134"/>
      <c r="R680" s="134"/>
    </row>
    <row r="681">
      <c r="A681" s="107"/>
      <c r="B681" s="107"/>
      <c r="D681" s="134"/>
      <c r="P681" s="134"/>
      <c r="Q681" s="134"/>
      <c r="R681" s="134"/>
    </row>
    <row r="682">
      <c r="A682" s="107"/>
      <c r="B682" s="107"/>
      <c r="D682" s="134"/>
      <c r="P682" s="134"/>
      <c r="Q682" s="134"/>
      <c r="R682" s="134"/>
    </row>
    <row r="683">
      <c r="A683" s="107"/>
      <c r="B683" s="107"/>
      <c r="D683" s="134"/>
      <c r="P683" s="134"/>
      <c r="Q683" s="134"/>
      <c r="R683" s="134"/>
    </row>
    <row r="684">
      <c r="A684" s="107"/>
      <c r="B684" s="107"/>
      <c r="D684" s="134"/>
      <c r="P684" s="134"/>
      <c r="Q684" s="134"/>
      <c r="R684" s="134"/>
    </row>
    <row r="685">
      <c r="A685" s="107"/>
      <c r="B685" s="107"/>
      <c r="D685" s="134"/>
      <c r="P685" s="134"/>
      <c r="Q685" s="134"/>
      <c r="R685" s="134"/>
    </row>
    <row r="686">
      <c r="A686" s="107"/>
      <c r="B686" s="107"/>
      <c r="D686" s="134"/>
      <c r="P686" s="134"/>
      <c r="Q686" s="134"/>
      <c r="R686" s="134"/>
    </row>
    <row r="687">
      <c r="A687" s="107"/>
      <c r="B687" s="107"/>
      <c r="D687" s="134"/>
      <c r="P687" s="134"/>
      <c r="Q687" s="134"/>
      <c r="R687" s="134"/>
    </row>
    <row r="688">
      <c r="A688" s="107"/>
      <c r="B688" s="107"/>
      <c r="D688" s="134"/>
      <c r="P688" s="134"/>
      <c r="Q688" s="134"/>
      <c r="R688" s="134"/>
    </row>
    <row r="689">
      <c r="A689" s="107"/>
      <c r="B689" s="107"/>
      <c r="D689" s="134"/>
      <c r="P689" s="134"/>
      <c r="Q689" s="134"/>
      <c r="R689" s="134"/>
    </row>
    <row r="690">
      <c r="A690" s="107"/>
      <c r="B690" s="107"/>
      <c r="D690" s="134"/>
      <c r="P690" s="134"/>
      <c r="Q690" s="134"/>
      <c r="R690" s="134"/>
    </row>
    <row r="691">
      <c r="A691" s="107"/>
      <c r="B691" s="107"/>
      <c r="D691" s="134"/>
      <c r="P691" s="134"/>
      <c r="Q691" s="134"/>
      <c r="R691" s="134"/>
    </row>
    <row r="692">
      <c r="A692" s="107"/>
      <c r="B692" s="107"/>
      <c r="D692" s="134"/>
      <c r="P692" s="134"/>
      <c r="Q692" s="134"/>
      <c r="R692" s="134"/>
    </row>
    <row r="693">
      <c r="A693" s="107"/>
      <c r="B693" s="107"/>
      <c r="D693" s="134"/>
      <c r="P693" s="134"/>
      <c r="Q693" s="134"/>
      <c r="R693" s="134"/>
    </row>
    <row r="694">
      <c r="A694" s="107"/>
      <c r="B694" s="107"/>
      <c r="D694" s="134"/>
      <c r="P694" s="134"/>
      <c r="Q694" s="134"/>
      <c r="R694" s="134"/>
    </row>
    <row r="695">
      <c r="A695" s="107"/>
      <c r="B695" s="107"/>
      <c r="D695" s="134"/>
      <c r="P695" s="134"/>
      <c r="Q695" s="134"/>
      <c r="R695" s="134"/>
    </row>
    <row r="696">
      <c r="A696" s="107"/>
      <c r="B696" s="107"/>
      <c r="D696" s="134"/>
      <c r="P696" s="134"/>
      <c r="Q696" s="134"/>
      <c r="R696" s="134"/>
    </row>
    <row r="697">
      <c r="A697" s="107"/>
      <c r="B697" s="107"/>
      <c r="D697" s="134"/>
      <c r="P697" s="134"/>
      <c r="Q697" s="134"/>
      <c r="R697" s="134"/>
    </row>
    <row r="698">
      <c r="A698" s="107"/>
      <c r="B698" s="107"/>
      <c r="D698" s="134"/>
      <c r="P698" s="134"/>
      <c r="Q698" s="134"/>
      <c r="R698" s="134"/>
    </row>
    <row r="699">
      <c r="A699" s="107"/>
      <c r="B699" s="107"/>
      <c r="D699" s="134"/>
      <c r="P699" s="134"/>
      <c r="Q699" s="134"/>
      <c r="R699" s="134"/>
    </row>
    <row r="700">
      <c r="A700" s="107"/>
      <c r="B700" s="107"/>
      <c r="D700" s="134"/>
      <c r="P700" s="134"/>
      <c r="Q700" s="134"/>
      <c r="R700" s="134"/>
    </row>
    <row r="701">
      <c r="A701" s="107"/>
      <c r="B701" s="107"/>
      <c r="D701" s="134"/>
      <c r="P701" s="134"/>
      <c r="Q701" s="134"/>
      <c r="R701" s="134"/>
    </row>
    <row r="702">
      <c r="A702" s="107"/>
      <c r="B702" s="107"/>
      <c r="D702" s="134"/>
      <c r="P702" s="134"/>
      <c r="Q702" s="134"/>
      <c r="R702" s="134"/>
    </row>
    <row r="703">
      <c r="A703" s="107"/>
      <c r="B703" s="107"/>
      <c r="D703" s="134"/>
      <c r="P703" s="134"/>
      <c r="Q703" s="134"/>
      <c r="R703" s="134"/>
    </row>
    <row r="704">
      <c r="A704" s="107"/>
      <c r="B704" s="107"/>
      <c r="D704" s="134"/>
      <c r="P704" s="134"/>
      <c r="Q704" s="134"/>
      <c r="R704" s="134"/>
    </row>
    <row r="705">
      <c r="A705" s="107"/>
      <c r="B705" s="107"/>
      <c r="D705" s="134"/>
      <c r="P705" s="134"/>
      <c r="Q705" s="134"/>
      <c r="R705" s="134"/>
    </row>
    <row r="706">
      <c r="A706" s="107"/>
      <c r="B706" s="107"/>
      <c r="D706" s="134"/>
      <c r="P706" s="134"/>
      <c r="Q706" s="134"/>
      <c r="R706" s="134"/>
    </row>
    <row r="707">
      <c r="A707" s="107"/>
      <c r="B707" s="107"/>
      <c r="D707" s="134"/>
      <c r="P707" s="134"/>
      <c r="Q707" s="134"/>
      <c r="R707" s="134"/>
    </row>
    <row r="708">
      <c r="A708" s="107"/>
      <c r="B708" s="107"/>
      <c r="D708" s="134"/>
      <c r="P708" s="134"/>
      <c r="Q708" s="134"/>
      <c r="R708" s="134"/>
    </row>
    <row r="709">
      <c r="A709" s="107"/>
      <c r="B709" s="107"/>
      <c r="D709" s="134"/>
      <c r="P709" s="134"/>
      <c r="Q709" s="134"/>
      <c r="R709" s="134"/>
    </row>
    <row r="710">
      <c r="A710" s="107"/>
      <c r="B710" s="107"/>
      <c r="D710" s="134"/>
      <c r="P710" s="134"/>
      <c r="Q710" s="134"/>
      <c r="R710" s="134"/>
    </row>
    <row r="711">
      <c r="A711" s="107"/>
      <c r="B711" s="107"/>
      <c r="D711" s="134"/>
      <c r="P711" s="134"/>
      <c r="Q711" s="134"/>
      <c r="R711" s="134"/>
    </row>
    <row r="712">
      <c r="A712" s="107"/>
      <c r="B712" s="107"/>
      <c r="D712" s="134"/>
      <c r="P712" s="134"/>
      <c r="Q712" s="134"/>
      <c r="R712" s="134"/>
    </row>
    <row r="713">
      <c r="A713" s="107"/>
      <c r="B713" s="107"/>
      <c r="D713" s="134"/>
      <c r="P713" s="134"/>
      <c r="Q713" s="134"/>
      <c r="R713" s="134"/>
    </row>
    <row r="714">
      <c r="A714" s="107"/>
      <c r="B714" s="107"/>
      <c r="D714" s="134"/>
      <c r="P714" s="134"/>
      <c r="Q714" s="134"/>
      <c r="R714" s="134"/>
    </row>
    <row r="715">
      <c r="A715" s="107"/>
      <c r="B715" s="107"/>
      <c r="D715" s="134"/>
      <c r="P715" s="134"/>
      <c r="Q715" s="134"/>
      <c r="R715" s="134"/>
    </row>
    <row r="716">
      <c r="A716" s="107"/>
      <c r="B716" s="107"/>
      <c r="D716" s="134"/>
      <c r="P716" s="134"/>
      <c r="Q716" s="134"/>
      <c r="R716" s="134"/>
    </row>
    <row r="717">
      <c r="A717" s="107"/>
      <c r="B717" s="107"/>
      <c r="D717" s="134"/>
      <c r="P717" s="134"/>
      <c r="Q717" s="134"/>
      <c r="R717" s="134"/>
    </row>
    <row r="718">
      <c r="A718" s="107"/>
      <c r="B718" s="107"/>
      <c r="D718" s="134"/>
      <c r="P718" s="134"/>
      <c r="Q718" s="134"/>
      <c r="R718" s="134"/>
    </row>
    <row r="719">
      <c r="A719" s="107"/>
      <c r="B719" s="107"/>
      <c r="D719" s="134"/>
      <c r="P719" s="134"/>
      <c r="Q719" s="134"/>
      <c r="R719" s="134"/>
    </row>
    <row r="720">
      <c r="A720" s="107"/>
      <c r="B720" s="107"/>
      <c r="D720" s="134"/>
      <c r="P720" s="134"/>
      <c r="Q720" s="134"/>
      <c r="R720" s="134"/>
    </row>
    <row r="721">
      <c r="A721" s="107"/>
      <c r="B721" s="107"/>
      <c r="D721" s="134"/>
      <c r="P721" s="134"/>
      <c r="Q721" s="134"/>
      <c r="R721" s="134"/>
    </row>
    <row r="722">
      <c r="A722" s="107"/>
      <c r="B722" s="107"/>
      <c r="D722" s="134"/>
      <c r="P722" s="134"/>
      <c r="Q722" s="134"/>
      <c r="R722" s="134"/>
    </row>
    <row r="723">
      <c r="A723" s="107"/>
      <c r="B723" s="107"/>
      <c r="D723" s="134"/>
      <c r="P723" s="134"/>
      <c r="Q723" s="134"/>
      <c r="R723" s="134"/>
    </row>
    <row r="724">
      <c r="A724" s="107"/>
      <c r="B724" s="107"/>
      <c r="D724" s="134"/>
      <c r="P724" s="134"/>
      <c r="Q724" s="134"/>
      <c r="R724" s="134"/>
    </row>
    <row r="725">
      <c r="A725" s="107"/>
      <c r="B725" s="107"/>
      <c r="D725" s="134"/>
      <c r="P725" s="134"/>
      <c r="Q725" s="134"/>
      <c r="R725" s="134"/>
    </row>
    <row r="726">
      <c r="A726" s="107"/>
      <c r="B726" s="107"/>
      <c r="D726" s="134"/>
      <c r="P726" s="134"/>
      <c r="Q726" s="134"/>
      <c r="R726" s="134"/>
    </row>
    <row r="727">
      <c r="A727" s="107"/>
      <c r="B727" s="107"/>
      <c r="D727" s="134"/>
      <c r="P727" s="134"/>
      <c r="Q727" s="134"/>
      <c r="R727" s="134"/>
    </row>
    <row r="728">
      <c r="A728" s="107"/>
      <c r="B728" s="107"/>
      <c r="D728" s="134"/>
      <c r="P728" s="134"/>
      <c r="Q728" s="134"/>
      <c r="R728" s="134"/>
    </row>
    <row r="729">
      <c r="A729" s="107"/>
      <c r="B729" s="107"/>
      <c r="D729" s="134"/>
      <c r="P729" s="134"/>
      <c r="Q729" s="134"/>
      <c r="R729" s="134"/>
    </row>
    <row r="730">
      <c r="A730" s="107"/>
      <c r="B730" s="107"/>
      <c r="D730" s="134"/>
      <c r="P730" s="134"/>
      <c r="Q730" s="134"/>
      <c r="R730" s="134"/>
    </row>
    <row r="731">
      <c r="A731" s="107"/>
      <c r="B731" s="107"/>
      <c r="D731" s="134"/>
      <c r="P731" s="134"/>
      <c r="Q731" s="134"/>
      <c r="R731" s="134"/>
    </row>
    <row r="732">
      <c r="A732" s="107"/>
      <c r="B732" s="107"/>
      <c r="D732" s="134"/>
      <c r="P732" s="134"/>
      <c r="Q732" s="134"/>
      <c r="R732" s="134"/>
    </row>
    <row r="733">
      <c r="A733" s="107"/>
      <c r="B733" s="107"/>
      <c r="D733" s="134"/>
      <c r="P733" s="134"/>
      <c r="Q733" s="134"/>
      <c r="R733" s="134"/>
    </row>
    <row r="734">
      <c r="A734" s="107"/>
      <c r="B734" s="107"/>
      <c r="D734" s="134"/>
      <c r="P734" s="134"/>
      <c r="Q734" s="134"/>
      <c r="R734" s="134"/>
    </row>
    <row r="735">
      <c r="A735" s="107"/>
      <c r="B735" s="107"/>
      <c r="D735" s="134"/>
      <c r="P735" s="134"/>
      <c r="Q735" s="134"/>
      <c r="R735" s="134"/>
    </row>
    <row r="736">
      <c r="A736" s="107"/>
      <c r="B736" s="107"/>
      <c r="D736" s="134"/>
      <c r="P736" s="134"/>
      <c r="Q736" s="134"/>
      <c r="R736" s="134"/>
    </row>
    <row r="737">
      <c r="A737" s="107"/>
      <c r="B737" s="107"/>
      <c r="D737" s="134"/>
      <c r="P737" s="134"/>
      <c r="Q737" s="134"/>
      <c r="R737" s="134"/>
    </row>
    <row r="738">
      <c r="A738" s="107"/>
      <c r="B738" s="107"/>
      <c r="D738" s="134"/>
      <c r="P738" s="134"/>
      <c r="Q738" s="134"/>
      <c r="R738" s="134"/>
    </row>
    <row r="739">
      <c r="A739" s="107"/>
      <c r="B739" s="107"/>
      <c r="D739" s="134"/>
      <c r="P739" s="134"/>
      <c r="Q739" s="134"/>
      <c r="R739" s="134"/>
    </row>
    <row r="740">
      <c r="A740" s="107"/>
      <c r="B740" s="107"/>
      <c r="D740" s="134"/>
      <c r="P740" s="134"/>
      <c r="Q740" s="134"/>
      <c r="R740" s="134"/>
    </row>
    <row r="741">
      <c r="A741" s="107"/>
      <c r="B741" s="107"/>
      <c r="D741" s="134"/>
      <c r="P741" s="134"/>
      <c r="Q741" s="134"/>
      <c r="R741" s="134"/>
    </row>
    <row r="742">
      <c r="A742" s="107"/>
      <c r="B742" s="107"/>
      <c r="D742" s="134"/>
      <c r="P742" s="134"/>
      <c r="Q742" s="134"/>
      <c r="R742" s="134"/>
    </row>
    <row r="743">
      <c r="A743" s="107"/>
      <c r="B743" s="107"/>
      <c r="D743" s="134"/>
      <c r="P743" s="134"/>
      <c r="Q743" s="134"/>
      <c r="R743" s="134"/>
    </row>
    <row r="744">
      <c r="A744" s="107"/>
      <c r="B744" s="107"/>
      <c r="D744" s="134"/>
      <c r="P744" s="134"/>
      <c r="Q744" s="134"/>
      <c r="R744" s="134"/>
    </row>
    <row r="745">
      <c r="A745" s="107"/>
      <c r="B745" s="107"/>
      <c r="D745" s="134"/>
      <c r="P745" s="134"/>
      <c r="Q745" s="134"/>
      <c r="R745" s="134"/>
    </row>
    <row r="746">
      <c r="A746" s="107"/>
      <c r="B746" s="107"/>
      <c r="D746" s="134"/>
      <c r="P746" s="134"/>
      <c r="Q746" s="134"/>
      <c r="R746" s="134"/>
    </row>
    <row r="747">
      <c r="A747" s="107"/>
      <c r="B747" s="107"/>
      <c r="D747" s="134"/>
      <c r="P747" s="134"/>
      <c r="Q747" s="134"/>
      <c r="R747" s="134"/>
    </row>
    <row r="748">
      <c r="A748" s="107"/>
      <c r="B748" s="107"/>
      <c r="D748" s="134"/>
      <c r="P748" s="134"/>
      <c r="Q748" s="134"/>
      <c r="R748" s="134"/>
    </row>
    <row r="749">
      <c r="A749" s="107"/>
      <c r="B749" s="107"/>
      <c r="D749" s="134"/>
      <c r="P749" s="134"/>
      <c r="Q749" s="134"/>
      <c r="R749" s="134"/>
    </row>
    <row r="750">
      <c r="A750" s="107"/>
      <c r="B750" s="107"/>
      <c r="D750" s="134"/>
      <c r="P750" s="134"/>
      <c r="Q750" s="134"/>
      <c r="R750" s="134"/>
    </row>
    <row r="751">
      <c r="A751" s="107"/>
      <c r="B751" s="107"/>
      <c r="D751" s="134"/>
      <c r="P751" s="134"/>
      <c r="Q751" s="134"/>
      <c r="R751" s="134"/>
    </row>
    <row r="752">
      <c r="A752" s="107"/>
      <c r="B752" s="107"/>
      <c r="D752" s="134"/>
      <c r="P752" s="134"/>
      <c r="Q752" s="134"/>
      <c r="R752" s="134"/>
    </row>
    <row r="753">
      <c r="A753" s="107"/>
      <c r="B753" s="107"/>
      <c r="D753" s="134"/>
      <c r="P753" s="134"/>
      <c r="Q753" s="134"/>
      <c r="R753" s="134"/>
    </row>
    <row r="754">
      <c r="A754" s="107"/>
      <c r="B754" s="107"/>
      <c r="D754" s="134"/>
      <c r="P754" s="134"/>
      <c r="Q754" s="134"/>
      <c r="R754" s="134"/>
    </row>
    <row r="755">
      <c r="A755" s="107"/>
      <c r="B755" s="107"/>
      <c r="D755" s="134"/>
      <c r="P755" s="134"/>
      <c r="Q755" s="134"/>
      <c r="R755" s="134"/>
    </row>
    <row r="756">
      <c r="A756" s="107"/>
      <c r="B756" s="107"/>
      <c r="D756" s="134"/>
      <c r="P756" s="134"/>
      <c r="Q756" s="134"/>
      <c r="R756" s="134"/>
    </row>
    <row r="757">
      <c r="A757" s="107"/>
      <c r="B757" s="107"/>
      <c r="D757" s="134"/>
      <c r="P757" s="134"/>
      <c r="Q757" s="134"/>
      <c r="R757" s="134"/>
    </row>
    <row r="758">
      <c r="A758" s="107"/>
      <c r="B758" s="107"/>
      <c r="D758" s="134"/>
      <c r="P758" s="134"/>
      <c r="Q758" s="134"/>
      <c r="R758" s="134"/>
    </row>
    <row r="759">
      <c r="A759" s="107"/>
      <c r="B759" s="107"/>
      <c r="D759" s="134"/>
      <c r="P759" s="134"/>
      <c r="Q759" s="134"/>
      <c r="R759" s="134"/>
    </row>
    <row r="760">
      <c r="A760" s="107"/>
      <c r="B760" s="107"/>
      <c r="D760" s="134"/>
      <c r="P760" s="134"/>
      <c r="Q760" s="134"/>
      <c r="R760" s="134"/>
    </row>
    <row r="761">
      <c r="A761" s="107"/>
      <c r="B761" s="107"/>
      <c r="D761" s="134"/>
      <c r="P761" s="134"/>
      <c r="Q761" s="134"/>
      <c r="R761" s="134"/>
    </row>
    <row r="762">
      <c r="A762" s="107"/>
      <c r="B762" s="107"/>
      <c r="D762" s="134"/>
      <c r="P762" s="134"/>
      <c r="Q762" s="134"/>
      <c r="R762" s="134"/>
    </row>
    <row r="763">
      <c r="A763" s="107"/>
      <c r="B763" s="107"/>
      <c r="D763" s="134"/>
      <c r="P763" s="134"/>
      <c r="Q763" s="134"/>
      <c r="R763" s="134"/>
    </row>
    <row r="764">
      <c r="A764" s="107"/>
      <c r="B764" s="107"/>
      <c r="D764" s="134"/>
      <c r="P764" s="134"/>
      <c r="Q764" s="134"/>
      <c r="R764" s="134"/>
    </row>
    <row r="765">
      <c r="A765" s="107"/>
      <c r="B765" s="107"/>
      <c r="D765" s="134"/>
      <c r="P765" s="134"/>
      <c r="Q765" s="134"/>
      <c r="R765" s="134"/>
    </row>
    <row r="766">
      <c r="A766" s="107"/>
      <c r="B766" s="107"/>
      <c r="D766" s="134"/>
      <c r="P766" s="134"/>
      <c r="Q766" s="134"/>
      <c r="R766" s="134"/>
    </row>
    <row r="767">
      <c r="A767" s="107"/>
      <c r="B767" s="107"/>
      <c r="D767" s="134"/>
      <c r="P767" s="134"/>
      <c r="Q767" s="134"/>
      <c r="R767" s="134"/>
    </row>
    <row r="768">
      <c r="A768" s="107"/>
      <c r="B768" s="107"/>
      <c r="D768" s="134"/>
      <c r="P768" s="134"/>
      <c r="Q768" s="134"/>
      <c r="R768" s="134"/>
    </row>
    <row r="769">
      <c r="A769" s="107"/>
      <c r="B769" s="107"/>
      <c r="D769" s="134"/>
      <c r="P769" s="134"/>
      <c r="Q769" s="134"/>
      <c r="R769" s="134"/>
    </row>
    <row r="770">
      <c r="A770" s="107"/>
      <c r="B770" s="107"/>
      <c r="D770" s="134"/>
      <c r="P770" s="134"/>
      <c r="Q770" s="134"/>
      <c r="R770" s="134"/>
    </row>
    <row r="771">
      <c r="A771" s="107"/>
      <c r="B771" s="107"/>
      <c r="D771" s="134"/>
      <c r="P771" s="134"/>
      <c r="Q771" s="134"/>
      <c r="R771" s="134"/>
    </row>
    <row r="772">
      <c r="A772" s="107"/>
      <c r="B772" s="107"/>
      <c r="D772" s="134"/>
      <c r="P772" s="134"/>
      <c r="Q772" s="134"/>
      <c r="R772" s="134"/>
    </row>
    <row r="773">
      <c r="A773" s="107"/>
      <c r="B773" s="107"/>
      <c r="D773" s="134"/>
      <c r="P773" s="134"/>
      <c r="Q773" s="134"/>
      <c r="R773" s="134"/>
    </row>
    <row r="774">
      <c r="A774" s="107"/>
      <c r="B774" s="107"/>
      <c r="D774" s="134"/>
      <c r="P774" s="134"/>
      <c r="Q774" s="134"/>
      <c r="R774" s="134"/>
    </row>
    <row r="775">
      <c r="A775" s="107"/>
      <c r="B775" s="107"/>
      <c r="D775" s="134"/>
      <c r="P775" s="134"/>
      <c r="Q775" s="134"/>
      <c r="R775" s="134"/>
    </row>
    <row r="776">
      <c r="A776" s="107"/>
      <c r="B776" s="107"/>
      <c r="D776" s="134"/>
      <c r="P776" s="134"/>
      <c r="Q776" s="134"/>
      <c r="R776" s="134"/>
    </row>
    <row r="777">
      <c r="A777" s="107"/>
      <c r="B777" s="107"/>
      <c r="D777" s="134"/>
      <c r="P777" s="134"/>
      <c r="Q777" s="134"/>
      <c r="R777" s="134"/>
    </row>
    <row r="778">
      <c r="A778" s="107"/>
      <c r="B778" s="107"/>
      <c r="D778" s="134"/>
      <c r="P778" s="134"/>
      <c r="Q778" s="134"/>
      <c r="R778" s="134"/>
    </row>
    <row r="779">
      <c r="A779" s="107"/>
      <c r="B779" s="107"/>
      <c r="D779" s="134"/>
      <c r="P779" s="134"/>
      <c r="Q779" s="134"/>
      <c r="R779" s="134"/>
    </row>
    <row r="780">
      <c r="A780" s="107"/>
      <c r="B780" s="107"/>
      <c r="D780" s="134"/>
      <c r="P780" s="134"/>
      <c r="Q780" s="134"/>
      <c r="R780" s="134"/>
    </row>
    <row r="781">
      <c r="A781" s="107"/>
      <c r="B781" s="107"/>
      <c r="D781" s="134"/>
      <c r="P781" s="134"/>
      <c r="Q781" s="134"/>
      <c r="R781" s="134"/>
    </row>
    <row r="782">
      <c r="A782" s="107"/>
      <c r="B782" s="107"/>
      <c r="D782" s="134"/>
      <c r="P782" s="134"/>
      <c r="Q782" s="134"/>
      <c r="R782" s="134"/>
    </row>
    <row r="783">
      <c r="A783" s="107"/>
      <c r="B783" s="107"/>
      <c r="D783" s="134"/>
      <c r="P783" s="134"/>
      <c r="Q783" s="134"/>
      <c r="R783" s="134"/>
    </row>
    <row r="784">
      <c r="A784" s="107"/>
      <c r="B784" s="107"/>
      <c r="D784" s="134"/>
      <c r="P784" s="134"/>
      <c r="Q784" s="134"/>
      <c r="R784" s="134"/>
    </row>
    <row r="785">
      <c r="A785" s="107"/>
      <c r="B785" s="107"/>
      <c r="D785" s="134"/>
      <c r="P785" s="134"/>
      <c r="Q785" s="134"/>
      <c r="R785" s="134"/>
    </row>
    <row r="786">
      <c r="A786" s="107"/>
      <c r="B786" s="107"/>
      <c r="D786" s="134"/>
      <c r="P786" s="134"/>
      <c r="Q786" s="134"/>
      <c r="R786" s="134"/>
    </row>
    <row r="787">
      <c r="A787" s="107"/>
      <c r="B787" s="107"/>
      <c r="D787" s="134"/>
      <c r="P787" s="134"/>
      <c r="Q787" s="134"/>
      <c r="R787" s="134"/>
    </row>
    <row r="788">
      <c r="A788" s="107"/>
      <c r="B788" s="107"/>
      <c r="D788" s="134"/>
      <c r="P788" s="134"/>
      <c r="Q788" s="134"/>
      <c r="R788" s="134"/>
    </row>
    <row r="789">
      <c r="A789" s="107"/>
      <c r="B789" s="107"/>
      <c r="D789" s="134"/>
      <c r="P789" s="134"/>
      <c r="Q789" s="134"/>
      <c r="R789" s="134"/>
    </row>
    <row r="790">
      <c r="A790" s="107"/>
      <c r="B790" s="107"/>
      <c r="D790" s="134"/>
      <c r="P790" s="134"/>
      <c r="Q790" s="134"/>
      <c r="R790" s="134"/>
    </row>
    <row r="791">
      <c r="A791" s="107"/>
      <c r="B791" s="107"/>
      <c r="D791" s="134"/>
      <c r="P791" s="134"/>
      <c r="Q791" s="134"/>
      <c r="R791" s="134"/>
    </row>
    <row r="792">
      <c r="A792" s="107"/>
      <c r="B792" s="107"/>
      <c r="D792" s="134"/>
      <c r="P792" s="134"/>
      <c r="Q792" s="134"/>
      <c r="R792" s="134"/>
    </row>
    <row r="793">
      <c r="A793" s="107"/>
      <c r="B793" s="107"/>
      <c r="D793" s="134"/>
      <c r="P793" s="134"/>
      <c r="Q793" s="134"/>
      <c r="R793" s="134"/>
    </row>
    <row r="794">
      <c r="A794" s="107"/>
      <c r="B794" s="107"/>
      <c r="D794" s="134"/>
      <c r="P794" s="134"/>
      <c r="Q794" s="134"/>
      <c r="R794" s="134"/>
    </row>
    <row r="795">
      <c r="A795" s="107"/>
      <c r="B795" s="107"/>
      <c r="D795" s="134"/>
      <c r="P795" s="134"/>
      <c r="Q795" s="134"/>
      <c r="R795" s="134"/>
    </row>
    <row r="796">
      <c r="A796" s="107"/>
      <c r="B796" s="107"/>
      <c r="D796" s="134"/>
      <c r="P796" s="134"/>
      <c r="Q796" s="134"/>
      <c r="R796" s="134"/>
    </row>
    <row r="797">
      <c r="A797" s="107"/>
      <c r="B797" s="107"/>
      <c r="D797" s="134"/>
      <c r="P797" s="134"/>
      <c r="Q797" s="134"/>
      <c r="R797" s="134"/>
    </row>
    <row r="798">
      <c r="A798" s="107"/>
      <c r="B798" s="107"/>
      <c r="D798" s="134"/>
      <c r="P798" s="134"/>
      <c r="Q798" s="134"/>
      <c r="R798" s="134"/>
    </row>
    <row r="799">
      <c r="A799" s="107"/>
      <c r="B799" s="107"/>
      <c r="D799" s="134"/>
      <c r="P799" s="134"/>
      <c r="Q799" s="134"/>
      <c r="R799" s="134"/>
    </row>
    <row r="800">
      <c r="A800" s="107"/>
      <c r="B800" s="107"/>
      <c r="D800" s="134"/>
      <c r="P800" s="134"/>
      <c r="Q800" s="134"/>
      <c r="R800" s="134"/>
    </row>
    <row r="801">
      <c r="A801" s="107"/>
      <c r="B801" s="107"/>
      <c r="D801" s="134"/>
      <c r="P801" s="134"/>
      <c r="Q801" s="134"/>
      <c r="R801" s="134"/>
    </row>
    <row r="802">
      <c r="A802" s="107"/>
      <c r="B802" s="107"/>
      <c r="D802" s="134"/>
      <c r="P802" s="134"/>
      <c r="Q802" s="134"/>
      <c r="R802" s="134"/>
    </row>
    <row r="803">
      <c r="A803" s="107"/>
      <c r="B803" s="107"/>
      <c r="D803" s="134"/>
      <c r="P803" s="134"/>
      <c r="Q803" s="134"/>
      <c r="R803" s="134"/>
    </row>
    <row r="804">
      <c r="A804" s="107"/>
      <c r="B804" s="107"/>
      <c r="D804" s="134"/>
      <c r="P804" s="134"/>
      <c r="Q804" s="134"/>
      <c r="R804" s="134"/>
    </row>
    <row r="805">
      <c r="A805" s="107"/>
      <c r="B805" s="107"/>
      <c r="D805" s="134"/>
      <c r="P805" s="134"/>
      <c r="Q805" s="134"/>
      <c r="R805" s="134"/>
    </row>
    <row r="806">
      <c r="A806" s="107"/>
      <c r="B806" s="107"/>
      <c r="D806" s="134"/>
      <c r="P806" s="134"/>
      <c r="Q806" s="134"/>
      <c r="R806" s="134"/>
    </row>
    <row r="807">
      <c r="A807" s="107"/>
      <c r="B807" s="107"/>
      <c r="D807" s="134"/>
      <c r="P807" s="134"/>
      <c r="Q807" s="134"/>
      <c r="R807" s="134"/>
    </row>
    <row r="808">
      <c r="A808" s="107"/>
      <c r="B808" s="107"/>
      <c r="D808" s="134"/>
      <c r="P808" s="134"/>
      <c r="Q808" s="134"/>
      <c r="R808" s="134"/>
    </row>
    <row r="809">
      <c r="A809" s="107"/>
      <c r="B809" s="107"/>
      <c r="D809" s="134"/>
      <c r="P809" s="134"/>
      <c r="Q809" s="134"/>
      <c r="R809" s="134"/>
    </row>
    <row r="810">
      <c r="A810" s="107"/>
      <c r="B810" s="107"/>
      <c r="D810" s="134"/>
      <c r="P810" s="134"/>
      <c r="Q810" s="134"/>
      <c r="R810" s="134"/>
    </row>
    <row r="811">
      <c r="A811" s="107"/>
      <c r="B811" s="107"/>
      <c r="D811" s="134"/>
      <c r="P811" s="134"/>
      <c r="Q811" s="134"/>
      <c r="R811" s="134"/>
    </row>
    <row r="812">
      <c r="A812" s="107"/>
      <c r="B812" s="107"/>
      <c r="D812" s="134"/>
      <c r="P812" s="134"/>
      <c r="Q812" s="134"/>
      <c r="R812" s="134"/>
    </row>
    <row r="813">
      <c r="A813" s="107"/>
      <c r="B813" s="107"/>
      <c r="D813" s="134"/>
      <c r="P813" s="134"/>
      <c r="Q813" s="134"/>
      <c r="R813" s="134"/>
    </row>
    <row r="814">
      <c r="A814" s="107"/>
      <c r="B814" s="107"/>
      <c r="D814" s="134"/>
      <c r="P814" s="134"/>
      <c r="Q814" s="134"/>
      <c r="R814" s="134"/>
    </row>
    <row r="815">
      <c r="A815" s="107"/>
      <c r="B815" s="107"/>
      <c r="D815" s="134"/>
      <c r="P815" s="134"/>
      <c r="Q815" s="134"/>
      <c r="R815" s="134"/>
    </row>
    <row r="816">
      <c r="A816" s="107"/>
      <c r="B816" s="107"/>
      <c r="D816" s="134"/>
      <c r="P816" s="134"/>
      <c r="Q816" s="134"/>
      <c r="R816" s="134"/>
    </row>
    <row r="817">
      <c r="A817" s="107"/>
      <c r="B817" s="107"/>
      <c r="D817" s="134"/>
      <c r="P817" s="134"/>
      <c r="Q817" s="134"/>
      <c r="R817" s="134"/>
    </row>
    <row r="818">
      <c r="A818" s="107"/>
      <c r="B818" s="107"/>
      <c r="D818" s="134"/>
      <c r="P818" s="134"/>
      <c r="Q818" s="134"/>
      <c r="R818" s="134"/>
    </row>
    <row r="819">
      <c r="A819" s="107"/>
      <c r="B819" s="107"/>
      <c r="D819" s="134"/>
      <c r="P819" s="134"/>
      <c r="Q819" s="134"/>
      <c r="R819" s="134"/>
    </row>
    <row r="820">
      <c r="A820" s="107"/>
      <c r="B820" s="107"/>
      <c r="D820" s="134"/>
      <c r="P820" s="134"/>
      <c r="Q820" s="134"/>
      <c r="R820" s="134"/>
    </row>
    <row r="821">
      <c r="A821" s="107"/>
      <c r="B821" s="107"/>
      <c r="D821" s="134"/>
      <c r="P821" s="134"/>
      <c r="Q821" s="134"/>
      <c r="R821" s="134"/>
    </row>
    <row r="822">
      <c r="A822" s="107"/>
      <c r="B822" s="107"/>
      <c r="D822" s="134"/>
      <c r="P822" s="134"/>
      <c r="Q822" s="134"/>
      <c r="R822" s="134"/>
    </row>
    <row r="823">
      <c r="A823" s="107"/>
      <c r="B823" s="107"/>
      <c r="D823" s="134"/>
      <c r="P823" s="134"/>
      <c r="Q823" s="134"/>
      <c r="R823" s="134"/>
    </row>
    <row r="824">
      <c r="A824" s="107"/>
      <c r="B824" s="107"/>
      <c r="D824" s="134"/>
      <c r="P824" s="134"/>
      <c r="Q824" s="134"/>
      <c r="R824" s="134"/>
    </row>
    <row r="825">
      <c r="A825" s="107"/>
      <c r="B825" s="107"/>
      <c r="D825" s="134"/>
      <c r="P825" s="134"/>
      <c r="Q825" s="134"/>
      <c r="R825" s="134"/>
    </row>
    <row r="826">
      <c r="A826" s="107"/>
      <c r="B826" s="107"/>
      <c r="D826" s="134"/>
      <c r="P826" s="134"/>
      <c r="Q826" s="134"/>
      <c r="R826" s="134"/>
    </row>
    <row r="827">
      <c r="A827" s="107"/>
      <c r="B827" s="107"/>
      <c r="D827" s="134"/>
      <c r="P827" s="134"/>
      <c r="Q827" s="134"/>
      <c r="R827" s="134"/>
    </row>
    <row r="828">
      <c r="A828" s="107"/>
      <c r="B828" s="107"/>
      <c r="D828" s="134"/>
      <c r="P828" s="134"/>
      <c r="Q828" s="134"/>
      <c r="R828" s="134"/>
    </row>
    <row r="829">
      <c r="A829" s="107"/>
      <c r="B829" s="107"/>
      <c r="D829" s="134"/>
      <c r="P829" s="134"/>
      <c r="Q829" s="134"/>
      <c r="R829" s="134"/>
    </row>
    <row r="830">
      <c r="A830" s="107"/>
      <c r="B830" s="107"/>
      <c r="D830" s="134"/>
      <c r="P830" s="134"/>
      <c r="Q830" s="134"/>
      <c r="R830" s="134"/>
    </row>
    <row r="831">
      <c r="A831" s="107"/>
      <c r="B831" s="107"/>
      <c r="D831" s="134"/>
      <c r="P831" s="134"/>
      <c r="Q831" s="134"/>
      <c r="R831" s="134"/>
    </row>
    <row r="832">
      <c r="A832" s="107"/>
      <c r="B832" s="107"/>
      <c r="D832" s="134"/>
      <c r="P832" s="134"/>
      <c r="Q832" s="134"/>
      <c r="R832" s="134"/>
    </row>
    <row r="833">
      <c r="A833" s="107"/>
      <c r="B833" s="107"/>
      <c r="D833" s="134"/>
      <c r="P833" s="134"/>
      <c r="Q833" s="134"/>
      <c r="R833" s="134"/>
    </row>
    <row r="834">
      <c r="A834" s="107"/>
      <c r="B834" s="107"/>
      <c r="D834" s="134"/>
      <c r="P834" s="134"/>
      <c r="Q834" s="134"/>
      <c r="R834" s="134"/>
    </row>
    <row r="835">
      <c r="A835" s="107"/>
      <c r="B835" s="107"/>
      <c r="D835" s="134"/>
      <c r="P835" s="134"/>
      <c r="Q835" s="134"/>
      <c r="R835" s="134"/>
    </row>
    <row r="836">
      <c r="A836" s="107"/>
      <c r="B836" s="107"/>
      <c r="D836" s="134"/>
      <c r="P836" s="134"/>
      <c r="Q836" s="134"/>
      <c r="R836" s="134"/>
    </row>
    <row r="837">
      <c r="A837" s="107"/>
      <c r="B837" s="107"/>
      <c r="D837" s="134"/>
      <c r="P837" s="134"/>
      <c r="Q837" s="134"/>
      <c r="R837" s="134"/>
    </row>
    <row r="838">
      <c r="A838" s="107"/>
      <c r="B838" s="107"/>
      <c r="D838" s="134"/>
      <c r="P838" s="134"/>
      <c r="Q838" s="134"/>
      <c r="R838" s="134"/>
    </row>
    <row r="839">
      <c r="A839" s="107"/>
      <c r="B839" s="107"/>
      <c r="D839" s="134"/>
      <c r="P839" s="134"/>
      <c r="Q839" s="134"/>
      <c r="R839" s="134"/>
    </row>
    <row r="840">
      <c r="A840" s="107"/>
      <c r="B840" s="107"/>
      <c r="D840" s="134"/>
      <c r="P840" s="134"/>
      <c r="Q840" s="134"/>
      <c r="R840" s="134"/>
    </row>
    <row r="841">
      <c r="A841" s="107"/>
      <c r="B841" s="107"/>
      <c r="D841" s="134"/>
      <c r="P841" s="134"/>
      <c r="Q841" s="134"/>
      <c r="R841" s="134"/>
    </row>
    <row r="842">
      <c r="A842" s="107"/>
      <c r="B842" s="107"/>
      <c r="D842" s="134"/>
      <c r="P842" s="134"/>
      <c r="Q842" s="134"/>
      <c r="R842" s="134"/>
    </row>
    <row r="843">
      <c r="A843" s="107"/>
      <c r="B843" s="107"/>
      <c r="D843" s="134"/>
      <c r="P843" s="134"/>
      <c r="Q843" s="134"/>
      <c r="R843" s="134"/>
    </row>
    <row r="844">
      <c r="A844" s="107"/>
      <c r="B844" s="107"/>
      <c r="D844" s="134"/>
      <c r="P844" s="134"/>
      <c r="Q844" s="134"/>
      <c r="R844" s="134"/>
    </row>
    <row r="845">
      <c r="A845" s="107"/>
      <c r="B845" s="107"/>
      <c r="D845" s="134"/>
      <c r="P845" s="134"/>
      <c r="Q845" s="134"/>
      <c r="R845" s="134"/>
    </row>
    <row r="846">
      <c r="A846" s="107"/>
      <c r="B846" s="107"/>
      <c r="D846" s="134"/>
      <c r="P846" s="134"/>
      <c r="Q846" s="134"/>
      <c r="R846" s="134"/>
    </row>
    <row r="847">
      <c r="A847" s="107"/>
      <c r="B847" s="107"/>
      <c r="D847" s="134"/>
      <c r="P847" s="134"/>
      <c r="Q847" s="134"/>
      <c r="R847" s="134"/>
    </row>
    <row r="848">
      <c r="A848" s="107"/>
      <c r="B848" s="107"/>
      <c r="D848" s="134"/>
      <c r="P848" s="134"/>
      <c r="Q848" s="134"/>
      <c r="R848" s="134"/>
    </row>
    <row r="849">
      <c r="A849" s="107"/>
      <c r="B849" s="107"/>
      <c r="D849" s="134"/>
      <c r="P849" s="134"/>
      <c r="Q849" s="134"/>
      <c r="R849" s="134"/>
    </row>
    <row r="850">
      <c r="A850" s="107"/>
      <c r="B850" s="107"/>
      <c r="D850" s="134"/>
      <c r="P850" s="134"/>
      <c r="Q850" s="134"/>
      <c r="R850" s="134"/>
    </row>
    <row r="851">
      <c r="A851" s="107"/>
      <c r="B851" s="107"/>
      <c r="D851" s="134"/>
      <c r="P851" s="134"/>
      <c r="Q851" s="134"/>
      <c r="R851" s="134"/>
    </row>
    <row r="852">
      <c r="A852" s="107"/>
      <c r="B852" s="107"/>
      <c r="D852" s="134"/>
      <c r="P852" s="134"/>
      <c r="Q852" s="134"/>
      <c r="R852" s="134"/>
    </row>
    <row r="853">
      <c r="A853" s="107"/>
      <c r="B853" s="107"/>
      <c r="D853" s="134"/>
      <c r="P853" s="134"/>
      <c r="Q853" s="134"/>
      <c r="R853" s="134"/>
    </row>
    <row r="854">
      <c r="A854" s="107"/>
      <c r="B854" s="107"/>
      <c r="D854" s="134"/>
      <c r="P854" s="134"/>
      <c r="Q854" s="134"/>
      <c r="R854" s="134"/>
    </row>
    <row r="855">
      <c r="A855" s="107"/>
      <c r="B855" s="107"/>
      <c r="D855" s="134"/>
      <c r="P855" s="134"/>
      <c r="Q855" s="134"/>
      <c r="R855" s="134"/>
    </row>
    <row r="856">
      <c r="A856" s="107"/>
      <c r="B856" s="107"/>
      <c r="D856" s="134"/>
      <c r="P856" s="134"/>
      <c r="Q856" s="134"/>
      <c r="R856" s="134"/>
    </row>
    <row r="857">
      <c r="A857" s="107"/>
      <c r="B857" s="107"/>
      <c r="D857" s="134"/>
      <c r="P857" s="134"/>
      <c r="Q857" s="134"/>
      <c r="R857" s="134"/>
    </row>
    <row r="858">
      <c r="A858" s="107"/>
      <c r="B858" s="107"/>
      <c r="D858" s="134"/>
      <c r="P858" s="134"/>
      <c r="Q858" s="134"/>
      <c r="R858" s="134"/>
    </row>
    <row r="859">
      <c r="A859" s="107"/>
      <c r="B859" s="107"/>
      <c r="D859" s="134"/>
      <c r="P859" s="134"/>
      <c r="Q859" s="134"/>
      <c r="R859" s="134"/>
    </row>
    <row r="860">
      <c r="A860" s="107"/>
      <c r="B860" s="107"/>
      <c r="D860" s="134"/>
      <c r="P860" s="134"/>
      <c r="Q860" s="134"/>
      <c r="R860" s="134"/>
    </row>
    <row r="861">
      <c r="A861" s="107"/>
      <c r="B861" s="107"/>
      <c r="D861" s="134"/>
      <c r="P861" s="134"/>
      <c r="Q861" s="134"/>
      <c r="R861" s="134"/>
    </row>
    <row r="862">
      <c r="A862" s="107"/>
      <c r="B862" s="107"/>
      <c r="D862" s="134"/>
      <c r="P862" s="134"/>
      <c r="Q862" s="134"/>
      <c r="R862" s="134"/>
    </row>
    <row r="863">
      <c r="A863" s="107"/>
      <c r="B863" s="107"/>
      <c r="D863" s="134"/>
      <c r="P863" s="134"/>
      <c r="Q863" s="134"/>
      <c r="R863" s="134"/>
    </row>
    <row r="864">
      <c r="A864" s="107"/>
      <c r="B864" s="107"/>
      <c r="D864" s="134"/>
      <c r="P864" s="134"/>
      <c r="Q864" s="134"/>
      <c r="R864" s="134"/>
    </row>
    <row r="865">
      <c r="A865" s="107"/>
      <c r="B865" s="107"/>
      <c r="D865" s="134"/>
      <c r="P865" s="134"/>
      <c r="Q865" s="134"/>
      <c r="R865" s="134"/>
    </row>
    <row r="866">
      <c r="A866" s="107"/>
      <c r="B866" s="107"/>
      <c r="D866" s="134"/>
      <c r="P866" s="134"/>
      <c r="Q866" s="134"/>
      <c r="R866" s="134"/>
    </row>
    <row r="867">
      <c r="A867" s="107"/>
      <c r="B867" s="107"/>
      <c r="D867" s="134"/>
      <c r="P867" s="134"/>
      <c r="Q867" s="134"/>
      <c r="R867" s="134"/>
    </row>
    <row r="868">
      <c r="A868" s="107"/>
      <c r="B868" s="107"/>
      <c r="D868" s="134"/>
      <c r="P868" s="134"/>
      <c r="Q868" s="134"/>
      <c r="R868" s="134"/>
    </row>
    <row r="869">
      <c r="A869" s="107"/>
      <c r="B869" s="107"/>
      <c r="D869" s="134"/>
      <c r="P869" s="134"/>
      <c r="Q869" s="134"/>
      <c r="R869" s="134"/>
    </row>
    <row r="870">
      <c r="A870" s="107"/>
      <c r="B870" s="107"/>
      <c r="D870" s="134"/>
      <c r="P870" s="134"/>
      <c r="Q870" s="134"/>
      <c r="R870" s="134"/>
    </row>
    <row r="871">
      <c r="A871" s="107"/>
      <c r="B871" s="107"/>
      <c r="D871" s="134"/>
      <c r="P871" s="134"/>
      <c r="Q871" s="134"/>
      <c r="R871" s="134"/>
    </row>
    <row r="872">
      <c r="A872" s="107"/>
      <c r="B872" s="107"/>
      <c r="D872" s="134"/>
      <c r="P872" s="134"/>
      <c r="Q872" s="134"/>
      <c r="R872" s="134"/>
    </row>
    <row r="873">
      <c r="A873" s="107"/>
      <c r="B873" s="107"/>
      <c r="D873" s="134"/>
      <c r="P873" s="134"/>
      <c r="Q873" s="134"/>
      <c r="R873" s="134"/>
    </row>
    <row r="874">
      <c r="A874" s="107"/>
      <c r="B874" s="107"/>
      <c r="D874" s="134"/>
      <c r="P874" s="134"/>
      <c r="Q874" s="134"/>
      <c r="R874" s="134"/>
    </row>
    <row r="875">
      <c r="A875" s="107"/>
      <c r="B875" s="107"/>
      <c r="D875" s="134"/>
      <c r="P875" s="134"/>
      <c r="Q875" s="134"/>
      <c r="R875" s="134"/>
    </row>
    <row r="876">
      <c r="A876" s="107"/>
      <c r="B876" s="107"/>
      <c r="D876" s="134"/>
      <c r="P876" s="134"/>
      <c r="Q876" s="134"/>
      <c r="R876" s="134"/>
    </row>
    <row r="877">
      <c r="A877" s="107"/>
      <c r="B877" s="107"/>
      <c r="D877" s="134"/>
      <c r="P877" s="134"/>
      <c r="Q877" s="134"/>
      <c r="R877" s="134"/>
    </row>
    <row r="878">
      <c r="A878" s="107"/>
      <c r="B878" s="107"/>
      <c r="D878" s="134"/>
      <c r="P878" s="134"/>
      <c r="Q878" s="134"/>
      <c r="R878" s="134"/>
    </row>
    <row r="879">
      <c r="A879" s="107"/>
      <c r="B879" s="107"/>
      <c r="D879" s="134"/>
      <c r="P879" s="134"/>
      <c r="Q879" s="134"/>
      <c r="R879" s="134"/>
    </row>
    <row r="880">
      <c r="A880" s="107"/>
      <c r="B880" s="107"/>
      <c r="D880" s="134"/>
      <c r="P880" s="134"/>
      <c r="Q880" s="134"/>
      <c r="R880" s="134"/>
    </row>
    <row r="881">
      <c r="A881" s="107"/>
      <c r="B881" s="107"/>
      <c r="D881" s="134"/>
      <c r="P881" s="134"/>
      <c r="Q881" s="134"/>
      <c r="R881" s="134"/>
    </row>
    <row r="882">
      <c r="A882" s="107"/>
      <c r="B882" s="107"/>
      <c r="D882" s="134"/>
      <c r="P882" s="134"/>
      <c r="Q882" s="134"/>
      <c r="R882" s="134"/>
    </row>
    <row r="883">
      <c r="A883" s="107"/>
      <c r="B883" s="107"/>
      <c r="D883" s="134"/>
      <c r="P883" s="134"/>
      <c r="Q883" s="134"/>
      <c r="R883" s="134"/>
    </row>
    <row r="884">
      <c r="A884" s="107"/>
      <c r="B884" s="107"/>
      <c r="D884" s="134"/>
      <c r="P884" s="134"/>
      <c r="Q884" s="134"/>
      <c r="R884" s="134"/>
    </row>
    <row r="885">
      <c r="A885" s="107"/>
      <c r="B885" s="107"/>
      <c r="D885" s="134"/>
      <c r="P885" s="134"/>
      <c r="Q885" s="134"/>
      <c r="R885" s="134"/>
    </row>
    <row r="886">
      <c r="A886" s="107"/>
      <c r="B886" s="107"/>
      <c r="D886" s="134"/>
      <c r="P886" s="134"/>
      <c r="Q886" s="134"/>
      <c r="R886" s="134"/>
    </row>
    <row r="887">
      <c r="A887" s="107"/>
      <c r="B887" s="107"/>
      <c r="D887" s="134"/>
      <c r="P887" s="134"/>
      <c r="Q887" s="134"/>
      <c r="R887" s="134"/>
    </row>
    <row r="888">
      <c r="A888" s="107"/>
      <c r="B888" s="107"/>
      <c r="D888" s="134"/>
      <c r="P888" s="134"/>
      <c r="Q888" s="134"/>
      <c r="R888" s="134"/>
    </row>
    <row r="889">
      <c r="A889" s="107"/>
      <c r="B889" s="107"/>
      <c r="D889" s="134"/>
      <c r="P889" s="134"/>
      <c r="Q889" s="134"/>
      <c r="R889" s="134"/>
    </row>
    <row r="890">
      <c r="A890" s="107"/>
      <c r="B890" s="107"/>
      <c r="D890" s="134"/>
      <c r="P890" s="134"/>
      <c r="Q890" s="134"/>
      <c r="R890" s="134"/>
    </row>
    <row r="891">
      <c r="A891" s="107"/>
      <c r="B891" s="107"/>
      <c r="D891" s="134"/>
      <c r="P891" s="134"/>
      <c r="Q891" s="134"/>
      <c r="R891" s="134"/>
    </row>
    <row r="892">
      <c r="A892" s="107"/>
      <c r="B892" s="107"/>
      <c r="D892" s="134"/>
      <c r="P892" s="134"/>
      <c r="Q892" s="134"/>
      <c r="R892" s="134"/>
    </row>
    <row r="893">
      <c r="A893" s="107"/>
      <c r="B893" s="107"/>
      <c r="D893" s="134"/>
      <c r="P893" s="134"/>
      <c r="Q893" s="134"/>
      <c r="R893" s="134"/>
    </row>
    <row r="894">
      <c r="A894" s="107"/>
      <c r="B894" s="107"/>
      <c r="D894" s="134"/>
      <c r="P894" s="134"/>
      <c r="Q894" s="134"/>
      <c r="R894" s="134"/>
    </row>
    <row r="895">
      <c r="A895" s="107"/>
      <c r="B895" s="107"/>
      <c r="D895" s="134"/>
      <c r="P895" s="134"/>
      <c r="Q895" s="134"/>
      <c r="R895" s="134"/>
    </row>
    <row r="896">
      <c r="A896" s="107"/>
      <c r="B896" s="107"/>
      <c r="D896" s="134"/>
      <c r="P896" s="134"/>
      <c r="Q896" s="134"/>
      <c r="R896" s="134"/>
    </row>
    <row r="897">
      <c r="A897" s="107"/>
      <c r="B897" s="107"/>
      <c r="D897" s="134"/>
      <c r="P897" s="134"/>
      <c r="Q897" s="134"/>
      <c r="R897" s="134"/>
    </row>
    <row r="898">
      <c r="A898" s="107"/>
      <c r="B898" s="107"/>
      <c r="D898" s="134"/>
      <c r="P898" s="134"/>
      <c r="Q898" s="134"/>
      <c r="R898" s="134"/>
    </row>
    <row r="899">
      <c r="A899" s="107"/>
      <c r="B899" s="107"/>
      <c r="D899" s="134"/>
      <c r="P899" s="134"/>
      <c r="Q899" s="134"/>
      <c r="R899" s="134"/>
    </row>
    <row r="900">
      <c r="A900" s="107"/>
      <c r="B900" s="107"/>
      <c r="D900" s="134"/>
      <c r="P900" s="134"/>
      <c r="Q900" s="134"/>
      <c r="R900" s="134"/>
    </row>
    <row r="901">
      <c r="A901" s="107"/>
      <c r="B901" s="107"/>
      <c r="D901" s="134"/>
      <c r="P901" s="134"/>
      <c r="Q901" s="134"/>
      <c r="R901" s="134"/>
    </row>
    <row r="902">
      <c r="A902" s="107"/>
      <c r="B902" s="107"/>
      <c r="D902" s="134"/>
      <c r="P902" s="134"/>
      <c r="Q902" s="134"/>
      <c r="R902" s="134"/>
    </row>
    <row r="903">
      <c r="A903" s="107"/>
      <c r="B903" s="107"/>
      <c r="D903" s="134"/>
      <c r="P903" s="134"/>
      <c r="Q903" s="134"/>
      <c r="R903" s="134"/>
    </row>
    <row r="904">
      <c r="A904" s="107"/>
      <c r="B904" s="107"/>
      <c r="D904" s="134"/>
      <c r="P904" s="134"/>
      <c r="Q904" s="134"/>
      <c r="R904" s="134"/>
    </row>
    <row r="905">
      <c r="A905" s="107"/>
      <c r="B905" s="107"/>
      <c r="D905" s="134"/>
      <c r="P905" s="134"/>
      <c r="Q905" s="134"/>
      <c r="R905" s="134"/>
    </row>
    <row r="906">
      <c r="A906" s="107"/>
      <c r="B906" s="107"/>
      <c r="D906" s="134"/>
      <c r="P906" s="134"/>
      <c r="Q906" s="134"/>
      <c r="R906" s="134"/>
    </row>
    <row r="907">
      <c r="A907" s="107"/>
      <c r="B907" s="107"/>
      <c r="D907" s="134"/>
      <c r="P907" s="134"/>
      <c r="Q907" s="134"/>
      <c r="R907" s="134"/>
    </row>
    <row r="908">
      <c r="A908" s="107"/>
      <c r="B908" s="107"/>
      <c r="D908" s="134"/>
      <c r="P908" s="134"/>
      <c r="Q908" s="134"/>
      <c r="R908" s="134"/>
    </row>
    <row r="909">
      <c r="A909" s="107"/>
      <c r="B909" s="107"/>
      <c r="D909" s="134"/>
      <c r="P909" s="134"/>
      <c r="Q909" s="134"/>
      <c r="R909" s="134"/>
    </row>
    <row r="910">
      <c r="A910" s="107"/>
      <c r="B910" s="107"/>
      <c r="D910" s="134"/>
      <c r="P910" s="134"/>
      <c r="Q910" s="134"/>
      <c r="R910" s="134"/>
    </row>
    <row r="911">
      <c r="A911" s="107"/>
      <c r="B911" s="107"/>
      <c r="D911" s="134"/>
      <c r="P911" s="134"/>
      <c r="Q911" s="134"/>
      <c r="R911" s="134"/>
    </row>
    <row r="912">
      <c r="A912" s="107"/>
      <c r="B912" s="107"/>
      <c r="D912" s="134"/>
      <c r="P912" s="134"/>
      <c r="Q912" s="134"/>
      <c r="R912" s="134"/>
    </row>
    <row r="913">
      <c r="A913" s="107"/>
      <c r="B913" s="107"/>
      <c r="D913" s="134"/>
      <c r="P913" s="134"/>
      <c r="Q913" s="134"/>
      <c r="R913" s="134"/>
    </row>
    <row r="914">
      <c r="A914" s="107"/>
      <c r="B914" s="107"/>
      <c r="D914" s="134"/>
      <c r="P914" s="134"/>
      <c r="Q914" s="134"/>
      <c r="R914" s="134"/>
    </row>
    <row r="915">
      <c r="A915" s="107"/>
      <c r="B915" s="107"/>
      <c r="D915" s="134"/>
      <c r="P915" s="134"/>
      <c r="Q915" s="134"/>
      <c r="R915" s="134"/>
    </row>
    <row r="916">
      <c r="A916" s="107"/>
      <c r="B916" s="107"/>
      <c r="D916" s="134"/>
      <c r="P916" s="134"/>
      <c r="Q916" s="134"/>
      <c r="R916" s="134"/>
    </row>
    <row r="917">
      <c r="A917" s="107"/>
      <c r="B917" s="107"/>
      <c r="D917" s="134"/>
      <c r="P917" s="134"/>
      <c r="Q917" s="134"/>
      <c r="R917" s="134"/>
    </row>
    <row r="918">
      <c r="A918" s="107"/>
      <c r="B918" s="107"/>
      <c r="D918" s="134"/>
      <c r="P918" s="134"/>
      <c r="Q918" s="134"/>
      <c r="R918" s="134"/>
    </row>
    <row r="919">
      <c r="A919" s="107"/>
      <c r="B919" s="107"/>
      <c r="D919" s="134"/>
      <c r="P919" s="134"/>
      <c r="Q919" s="134"/>
      <c r="R919" s="134"/>
    </row>
    <row r="920">
      <c r="A920" s="107"/>
      <c r="B920" s="107"/>
      <c r="D920" s="134"/>
      <c r="P920" s="134"/>
      <c r="Q920" s="134"/>
      <c r="R920" s="134"/>
    </row>
    <row r="921">
      <c r="A921" s="107"/>
      <c r="B921" s="107"/>
      <c r="D921" s="134"/>
      <c r="P921" s="134"/>
      <c r="Q921" s="134"/>
      <c r="R921" s="134"/>
    </row>
    <row r="922">
      <c r="A922" s="107"/>
      <c r="B922" s="107"/>
      <c r="D922" s="134"/>
      <c r="P922" s="134"/>
      <c r="Q922" s="134"/>
      <c r="R922" s="134"/>
    </row>
    <row r="923">
      <c r="A923" s="107"/>
      <c r="B923" s="107"/>
      <c r="D923" s="134"/>
      <c r="P923" s="134"/>
      <c r="Q923" s="134"/>
      <c r="R923" s="134"/>
    </row>
    <row r="924">
      <c r="A924" s="107"/>
      <c r="B924" s="107"/>
      <c r="D924" s="134"/>
      <c r="P924" s="134"/>
      <c r="Q924" s="134"/>
      <c r="R924" s="134"/>
    </row>
    <row r="925">
      <c r="A925" s="107"/>
      <c r="B925" s="107"/>
      <c r="D925" s="134"/>
      <c r="P925" s="134"/>
      <c r="Q925" s="134"/>
      <c r="R925" s="134"/>
    </row>
    <row r="926">
      <c r="A926" s="107"/>
      <c r="B926" s="107"/>
      <c r="D926" s="134"/>
      <c r="P926" s="134"/>
      <c r="Q926" s="134"/>
      <c r="R926" s="134"/>
    </row>
    <row r="927">
      <c r="A927" s="107"/>
      <c r="B927" s="107"/>
      <c r="D927" s="134"/>
      <c r="P927" s="134"/>
      <c r="Q927" s="134"/>
      <c r="R927" s="134"/>
    </row>
    <row r="928">
      <c r="A928" s="107"/>
      <c r="B928" s="107"/>
      <c r="D928" s="134"/>
      <c r="P928" s="134"/>
      <c r="Q928" s="134"/>
      <c r="R928" s="134"/>
    </row>
    <row r="929">
      <c r="A929" s="107"/>
      <c r="B929" s="107"/>
      <c r="D929" s="134"/>
      <c r="P929" s="134"/>
      <c r="Q929" s="134"/>
      <c r="R929" s="134"/>
    </row>
    <row r="930">
      <c r="A930" s="107"/>
      <c r="B930" s="107"/>
      <c r="D930" s="134"/>
      <c r="P930" s="134"/>
      <c r="Q930" s="134"/>
      <c r="R930" s="134"/>
    </row>
    <row r="931">
      <c r="A931" s="107"/>
      <c r="B931" s="107"/>
      <c r="D931" s="134"/>
      <c r="P931" s="134"/>
      <c r="Q931" s="134"/>
      <c r="R931" s="134"/>
    </row>
    <row r="932">
      <c r="A932" s="107"/>
      <c r="B932" s="107"/>
      <c r="D932" s="134"/>
      <c r="P932" s="134"/>
      <c r="Q932" s="134"/>
      <c r="R932" s="134"/>
    </row>
    <row r="933">
      <c r="A933" s="107"/>
      <c r="B933" s="107"/>
      <c r="D933" s="134"/>
      <c r="P933" s="134"/>
      <c r="Q933" s="134"/>
      <c r="R933" s="134"/>
    </row>
    <row r="934">
      <c r="A934" s="107"/>
      <c r="B934" s="107"/>
      <c r="D934" s="134"/>
      <c r="P934" s="134"/>
      <c r="Q934" s="134"/>
      <c r="R934" s="134"/>
    </row>
    <row r="935">
      <c r="A935" s="107"/>
      <c r="B935" s="107"/>
      <c r="D935" s="134"/>
      <c r="P935" s="134"/>
      <c r="Q935" s="134"/>
      <c r="R935" s="134"/>
    </row>
    <row r="936">
      <c r="A936" s="107"/>
      <c r="B936" s="107"/>
      <c r="D936" s="134"/>
      <c r="P936" s="134"/>
      <c r="Q936" s="134"/>
      <c r="R936" s="134"/>
    </row>
    <row r="937">
      <c r="A937" s="107"/>
      <c r="B937" s="107"/>
      <c r="D937" s="134"/>
      <c r="P937" s="134"/>
      <c r="Q937" s="134"/>
      <c r="R937" s="134"/>
    </row>
    <row r="938">
      <c r="A938" s="107"/>
      <c r="B938" s="107"/>
      <c r="D938" s="134"/>
      <c r="P938" s="134"/>
      <c r="Q938" s="134"/>
      <c r="R938" s="134"/>
    </row>
    <row r="939">
      <c r="A939" s="107"/>
      <c r="B939" s="107"/>
      <c r="D939" s="134"/>
      <c r="P939" s="134"/>
      <c r="Q939" s="134"/>
      <c r="R939" s="134"/>
    </row>
    <row r="940">
      <c r="A940" s="107"/>
      <c r="B940" s="107"/>
      <c r="D940" s="134"/>
      <c r="P940" s="134"/>
      <c r="Q940" s="134"/>
      <c r="R940" s="134"/>
    </row>
    <row r="941">
      <c r="A941" s="107"/>
      <c r="B941" s="107"/>
      <c r="D941" s="134"/>
      <c r="P941" s="134"/>
      <c r="Q941" s="134"/>
      <c r="R941" s="134"/>
    </row>
    <row r="942">
      <c r="A942" s="107"/>
      <c r="B942" s="107"/>
      <c r="D942" s="134"/>
      <c r="P942" s="134"/>
      <c r="Q942" s="134"/>
      <c r="R942" s="134"/>
    </row>
    <row r="943">
      <c r="A943" s="107"/>
      <c r="B943" s="107"/>
      <c r="D943" s="134"/>
      <c r="P943" s="134"/>
      <c r="Q943" s="134"/>
      <c r="R943" s="134"/>
    </row>
    <row r="944">
      <c r="A944" s="107"/>
      <c r="B944" s="107"/>
      <c r="D944" s="134"/>
      <c r="P944" s="134"/>
      <c r="Q944" s="134"/>
      <c r="R944" s="134"/>
    </row>
    <row r="945">
      <c r="A945" s="107"/>
      <c r="B945" s="107"/>
      <c r="D945" s="134"/>
      <c r="P945" s="134"/>
      <c r="Q945" s="134"/>
      <c r="R945" s="134"/>
    </row>
    <row r="946">
      <c r="A946" s="107"/>
      <c r="B946" s="107"/>
      <c r="D946" s="134"/>
      <c r="P946" s="134"/>
      <c r="Q946" s="134"/>
      <c r="R946" s="134"/>
    </row>
    <row r="947">
      <c r="A947" s="107"/>
      <c r="B947" s="107"/>
      <c r="D947" s="134"/>
      <c r="P947" s="134"/>
      <c r="Q947" s="134"/>
      <c r="R947" s="134"/>
    </row>
    <row r="948">
      <c r="A948" s="107"/>
      <c r="B948" s="107"/>
      <c r="D948" s="134"/>
      <c r="P948" s="134"/>
      <c r="Q948" s="134"/>
      <c r="R948" s="134"/>
    </row>
    <row r="949">
      <c r="A949" s="107"/>
      <c r="B949" s="107"/>
      <c r="D949" s="134"/>
      <c r="P949" s="134"/>
      <c r="Q949" s="134"/>
      <c r="R949" s="134"/>
    </row>
    <row r="950">
      <c r="A950" s="107"/>
      <c r="B950" s="107"/>
      <c r="D950" s="134"/>
      <c r="P950" s="134"/>
      <c r="Q950" s="134"/>
      <c r="R950" s="134"/>
    </row>
    <row r="951">
      <c r="A951" s="107"/>
      <c r="B951" s="107"/>
      <c r="D951" s="134"/>
      <c r="P951" s="134"/>
      <c r="Q951" s="134"/>
      <c r="R951" s="134"/>
    </row>
    <row r="952">
      <c r="A952" s="107"/>
      <c r="B952" s="107"/>
      <c r="D952" s="134"/>
      <c r="P952" s="134"/>
      <c r="Q952" s="134"/>
      <c r="R952" s="134"/>
    </row>
    <row r="953">
      <c r="A953" s="107"/>
      <c r="B953" s="107"/>
      <c r="D953" s="134"/>
      <c r="P953" s="134"/>
      <c r="Q953" s="134"/>
      <c r="R953" s="134"/>
    </row>
    <row r="954">
      <c r="A954" s="107"/>
      <c r="B954" s="107"/>
      <c r="D954" s="134"/>
      <c r="P954" s="134"/>
      <c r="Q954" s="134"/>
      <c r="R954" s="134"/>
    </row>
    <row r="955">
      <c r="A955" s="107"/>
      <c r="B955" s="107"/>
      <c r="D955" s="134"/>
      <c r="P955" s="134"/>
      <c r="Q955" s="134"/>
      <c r="R955" s="134"/>
    </row>
    <row r="956">
      <c r="A956" s="107"/>
      <c r="B956" s="107"/>
      <c r="D956" s="134"/>
      <c r="P956" s="134"/>
      <c r="Q956" s="134"/>
      <c r="R956" s="134"/>
    </row>
    <row r="957">
      <c r="A957" s="107"/>
      <c r="B957" s="107"/>
      <c r="D957" s="134"/>
      <c r="P957" s="134"/>
      <c r="Q957" s="134"/>
      <c r="R957" s="134"/>
    </row>
    <row r="958">
      <c r="A958" s="107"/>
      <c r="B958" s="107"/>
      <c r="D958" s="134"/>
      <c r="P958" s="134"/>
      <c r="Q958" s="134"/>
      <c r="R958" s="134"/>
    </row>
    <row r="959">
      <c r="A959" s="107"/>
      <c r="B959" s="107"/>
      <c r="D959" s="134"/>
      <c r="P959" s="134"/>
      <c r="Q959" s="134"/>
      <c r="R959" s="134"/>
    </row>
    <row r="960">
      <c r="A960" s="107"/>
      <c r="B960" s="107"/>
      <c r="D960" s="134"/>
      <c r="P960" s="134"/>
      <c r="Q960" s="134"/>
      <c r="R960" s="134"/>
    </row>
    <row r="961">
      <c r="A961" s="107"/>
      <c r="B961" s="107"/>
      <c r="D961" s="134"/>
      <c r="P961" s="134"/>
      <c r="Q961" s="134"/>
      <c r="R961" s="134"/>
    </row>
    <row r="962">
      <c r="A962" s="107"/>
      <c r="B962" s="107"/>
      <c r="D962" s="134"/>
      <c r="P962" s="134"/>
      <c r="Q962" s="134"/>
      <c r="R962" s="134"/>
    </row>
    <row r="963">
      <c r="A963" s="107"/>
      <c r="B963" s="107"/>
      <c r="D963" s="134"/>
      <c r="P963" s="134"/>
      <c r="Q963" s="134"/>
      <c r="R963" s="134"/>
    </row>
    <row r="964">
      <c r="A964" s="107"/>
      <c r="B964" s="107"/>
      <c r="D964" s="134"/>
      <c r="P964" s="134"/>
      <c r="Q964" s="134"/>
      <c r="R964" s="134"/>
    </row>
    <row r="965">
      <c r="A965" s="107"/>
      <c r="B965" s="107"/>
      <c r="D965" s="134"/>
      <c r="P965" s="134"/>
      <c r="Q965" s="134"/>
      <c r="R965" s="134"/>
    </row>
    <row r="966">
      <c r="A966" s="107"/>
      <c r="B966" s="107"/>
      <c r="D966" s="134"/>
      <c r="P966" s="134"/>
      <c r="Q966" s="134"/>
      <c r="R966" s="134"/>
    </row>
    <row r="967">
      <c r="A967" s="107"/>
      <c r="B967" s="107"/>
      <c r="D967" s="134"/>
      <c r="P967" s="134"/>
      <c r="Q967" s="134"/>
      <c r="R967" s="134"/>
    </row>
    <row r="968">
      <c r="A968" s="107"/>
      <c r="B968" s="107"/>
      <c r="D968" s="134"/>
      <c r="P968" s="134"/>
      <c r="Q968" s="134"/>
      <c r="R968" s="134"/>
    </row>
    <row r="969">
      <c r="A969" s="107"/>
      <c r="B969" s="107"/>
      <c r="D969" s="134"/>
      <c r="P969" s="134"/>
      <c r="Q969" s="134"/>
      <c r="R969" s="134"/>
    </row>
    <row r="970">
      <c r="A970" s="107"/>
      <c r="B970" s="107"/>
      <c r="D970" s="134"/>
      <c r="P970" s="134"/>
      <c r="Q970" s="134"/>
      <c r="R970" s="134"/>
    </row>
    <row r="971">
      <c r="A971" s="107"/>
      <c r="B971" s="107"/>
      <c r="D971" s="134"/>
      <c r="P971" s="134"/>
      <c r="Q971" s="134"/>
      <c r="R971" s="134"/>
    </row>
    <row r="972">
      <c r="A972" s="107"/>
      <c r="B972" s="107"/>
      <c r="D972" s="134"/>
      <c r="P972" s="134"/>
      <c r="Q972" s="134"/>
      <c r="R972" s="134"/>
    </row>
    <row r="973">
      <c r="A973" s="107"/>
      <c r="B973" s="107"/>
      <c r="D973" s="134"/>
      <c r="P973" s="134"/>
      <c r="Q973" s="134"/>
      <c r="R973" s="134"/>
    </row>
    <row r="974">
      <c r="A974" s="107"/>
      <c r="B974" s="107"/>
      <c r="D974" s="134"/>
      <c r="P974" s="134"/>
      <c r="Q974" s="134"/>
      <c r="R974" s="134"/>
    </row>
    <row r="975">
      <c r="A975" s="107"/>
      <c r="B975" s="107"/>
      <c r="D975" s="134"/>
      <c r="P975" s="134"/>
      <c r="Q975" s="134"/>
      <c r="R975" s="134"/>
    </row>
    <row r="976">
      <c r="A976" s="107"/>
      <c r="B976" s="107"/>
      <c r="D976" s="134"/>
      <c r="P976" s="134"/>
      <c r="Q976" s="134"/>
      <c r="R976" s="134"/>
    </row>
    <row r="977">
      <c r="A977" s="107"/>
      <c r="B977" s="107"/>
      <c r="D977" s="134"/>
      <c r="P977" s="134"/>
      <c r="Q977" s="134"/>
      <c r="R977" s="134"/>
    </row>
    <row r="978">
      <c r="A978" s="107"/>
      <c r="B978" s="107"/>
      <c r="D978" s="134"/>
      <c r="P978" s="134"/>
      <c r="Q978" s="134"/>
      <c r="R978" s="134"/>
    </row>
    <row r="979">
      <c r="A979" s="107"/>
      <c r="B979" s="107"/>
      <c r="D979" s="134"/>
      <c r="P979" s="134"/>
      <c r="Q979" s="134"/>
      <c r="R979" s="134"/>
    </row>
    <row r="980">
      <c r="A980" s="107"/>
      <c r="B980" s="107"/>
      <c r="D980" s="134"/>
      <c r="P980" s="134"/>
      <c r="Q980" s="134"/>
      <c r="R980" s="134"/>
    </row>
    <row r="981">
      <c r="A981" s="107"/>
      <c r="B981" s="107"/>
      <c r="D981" s="134"/>
      <c r="P981" s="134"/>
      <c r="Q981" s="134"/>
      <c r="R981" s="134"/>
    </row>
    <row r="982">
      <c r="A982" s="107"/>
      <c r="B982" s="107"/>
      <c r="D982" s="134"/>
      <c r="P982" s="134"/>
      <c r="Q982" s="134"/>
      <c r="R982" s="134"/>
    </row>
    <row r="983">
      <c r="A983" s="107"/>
      <c r="B983" s="107"/>
      <c r="D983" s="134"/>
      <c r="P983" s="134"/>
      <c r="Q983" s="134"/>
      <c r="R983" s="134"/>
    </row>
    <row r="984">
      <c r="A984" s="107"/>
      <c r="B984" s="107"/>
      <c r="D984" s="134"/>
      <c r="P984" s="134"/>
      <c r="Q984" s="134"/>
      <c r="R984" s="134"/>
    </row>
    <row r="985">
      <c r="A985" s="107"/>
      <c r="B985" s="107"/>
      <c r="D985" s="134"/>
      <c r="P985" s="134"/>
      <c r="Q985" s="134"/>
      <c r="R985" s="134"/>
    </row>
    <row r="986">
      <c r="A986" s="107"/>
      <c r="B986" s="107"/>
      <c r="D986" s="134"/>
      <c r="P986" s="134"/>
      <c r="Q986" s="134"/>
      <c r="R986" s="134"/>
    </row>
    <row r="987">
      <c r="A987" s="107"/>
      <c r="B987" s="107"/>
      <c r="D987" s="134"/>
      <c r="P987" s="134"/>
      <c r="Q987" s="134"/>
      <c r="R987" s="134"/>
    </row>
    <row r="988">
      <c r="A988" s="107"/>
      <c r="B988" s="107"/>
      <c r="D988" s="134"/>
      <c r="P988" s="134"/>
      <c r="Q988" s="134"/>
      <c r="R988" s="134"/>
    </row>
    <row r="989">
      <c r="A989" s="107"/>
      <c r="B989" s="107"/>
      <c r="D989" s="134"/>
      <c r="P989" s="134"/>
      <c r="Q989" s="134"/>
      <c r="R989" s="134"/>
    </row>
    <row r="990">
      <c r="A990" s="107"/>
      <c r="B990" s="107"/>
      <c r="D990" s="134"/>
      <c r="P990" s="134"/>
      <c r="Q990" s="134"/>
      <c r="R990" s="134"/>
    </row>
    <row r="991">
      <c r="A991" s="107"/>
      <c r="B991" s="107"/>
      <c r="D991" s="134"/>
      <c r="P991" s="134"/>
      <c r="Q991" s="134"/>
      <c r="R991" s="134"/>
    </row>
    <row r="992">
      <c r="A992" s="107"/>
      <c r="B992" s="107"/>
      <c r="D992" s="134"/>
      <c r="P992" s="134"/>
      <c r="Q992" s="134"/>
      <c r="R992" s="134"/>
    </row>
    <row r="993">
      <c r="A993" s="107"/>
      <c r="B993" s="107"/>
      <c r="D993" s="134"/>
      <c r="P993" s="134"/>
      <c r="Q993" s="134"/>
      <c r="R993" s="134"/>
    </row>
    <row r="994">
      <c r="A994" s="107"/>
      <c r="B994" s="107"/>
      <c r="D994" s="134"/>
      <c r="P994" s="134"/>
      <c r="Q994" s="134"/>
      <c r="R994" s="134"/>
    </row>
    <row r="995">
      <c r="A995" s="107"/>
      <c r="B995" s="107"/>
      <c r="D995" s="134"/>
      <c r="P995" s="134"/>
      <c r="Q995" s="134"/>
      <c r="R995" s="134"/>
    </row>
    <row r="996">
      <c r="A996" s="107"/>
      <c r="B996" s="107"/>
      <c r="D996" s="134"/>
      <c r="P996" s="134"/>
      <c r="Q996" s="134"/>
      <c r="R996" s="134"/>
    </row>
    <row r="997">
      <c r="A997" s="107"/>
      <c r="B997" s="107"/>
      <c r="D997" s="134"/>
      <c r="P997" s="134"/>
      <c r="Q997" s="134"/>
      <c r="R997" s="134"/>
    </row>
    <row r="998">
      <c r="A998" s="107"/>
      <c r="B998" s="107"/>
      <c r="D998" s="134"/>
      <c r="P998" s="134"/>
      <c r="Q998" s="134"/>
      <c r="R998" s="134"/>
    </row>
    <row r="999">
      <c r="A999" s="107"/>
      <c r="B999" s="107"/>
      <c r="D999" s="134"/>
      <c r="P999" s="134"/>
      <c r="Q999" s="134"/>
      <c r="R999" s="134"/>
    </row>
    <row r="1000">
      <c r="A1000" s="107"/>
      <c r="B1000" s="107"/>
      <c r="D1000" s="134"/>
      <c r="P1000" s="134"/>
      <c r="Q1000" s="134"/>
      <c r="R1000" s="134"/>
    </row>
    <row r="1001">
      <c r="A1001" s="107"/>
      <c r="B1001" s="107"/>
      <c r="D1001" s="134"/>
      <c r="P1001" s="134"/>
      <c r="Q1001" s="134"/>
      <c r="R1001" s="134"/>
    </row>
    <row r="1002">
      <c r="A1002" s="107"/>
      <c r="B1002" s="107"/>
      <c r="D1002" s="134"/>
      <c r="P1002" s="134"/>
      <c r="Q1002" s="134"/>
      <c r="R1002" s="134"/>
    </row>
    <row r="1003">
      <c r="A1003" s="107"/>
      <c r="B1003" s="107"/>
      <c r="D1003" s="134"/>
      <c r="P1003" s="134"/>
      <c r="Q1003" s="134"/>
      <c r="R1003" s="134"/>
    </row>
    <row r="1004">
      <c r="A1004" s="107"/>
      <c r="B1004" s="107"/>
      <c r="D1004" s="134"/>
      <c r="P1004" s="134"/>
      <c r="Q1004" s="134"/>
      <c r="R1004" s="134"/>
    </row>
    <row r="1005">
      <c r="A1005" s="107"/>
      <c r="B1005" s="107"/>
      <c r="D1005" s="134"/>
      <c r="P1005" s="134"/>
      <c r="Q1005" s="134"/>
      <c r="R1005" s="134"/>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9" t="s">
        <v>4</v>
      </c>
      <c r="B1" s="11" t="s">
        <v>6</v>
      </c>
      <c r="C1" s="11" t="s">
        <v>8</v>
      </c>
      <c r="D1" s="11" t="s">
        <v>9</v>
      </c>
      <c r="E1" s="11" t="s">
        <v>12</v>
      </c>
      <c r="F1" s="11" t="s">
        <v>15</v>
      </c>
      <c r="G1" s="11" t="s">
        <v>16</v>
      </c>
      <c r="H1" s="11" t="s">
        <v>19</v>
      </c>
      <c r="I1" s="11" t="s">
        <v>20</v>
      </c>
      <c r="J1" s="11" t="s">
        <v>22</v>
      </c>
      <c r="K1" s="11" t="s">
        <v>24</v>
      </c>
      <c r="L1" s="11" t="s">
        <v>26</v>
      </c>
      <c r="M1" s="11" t="s">
        <v>30</v>
      </c>
    </row>
    <row r="2" ht="22.5" customHeight="1">
      <c r="A2" s="16" t="s">
        <v>35</v>
      </c>
      <c r="B2" s="18"/>
      <c r="C2" s="18"/>
      <c r="D2" s="22">
        <v>5360.0</v>
      </c>
      <c r="E2" s="18"/>
      <c r="F2" s="22">
        <v>0.0</v>
      </c>
      <c r="G2" s="18"/>
      <c r="H2" s="18"/>
      <c r="I2" s="18"/>
      <c r="J2" s="18"/>
      <c r="K2" s="18"/>
      <c r="L2" s="18"/>
    </row>
    <row r="3" ht="22.5" customHeight="1">
      <c r="A3" s="16" t="s">
        <v>59</v>
      </c>
      <c r="B3" s="22">
        <v>0.0</v>
      </c>
      <c r="C3" s="22">
        <v>0.0</v>
      </c>
      <c r="D3" s="22">
        <v>0.0</v>
      </c>
      <c r="E3" s="22">
        <v>1645.0</v>
      </c>
      <c r="F3" s="22">
        <v>0.0</v>
      </c>
      <c r="G3" s="22">
        <v>395.1</v>
      </c>
      <c r="H3" s="22">
        <v>223490.69999999998</v>
      </c>
      <c r="I3" s="22">
        <v>34410.100000000006</v>
      </c>
      <c r="J3" s="22">
        <v>22222.300000000003</v>
      </c>
      <c r="K3" s="22">
        <v>35142.0</v>
      </c>
      <c r="L3" s="22">
        <v>71811.822751</v>
      </c>
    </row>
    <row r="4" ht="22.5" customHeight="1">
      <c r="A4" s="16" t="s">
        <v>71</v>
      </c>
      <c r="B4" s="18"/>
      <c r="C4" s="18"/>
      <c r="D4" s="18"/>
      <c r="E4" s="18"/>
      <c r="F4" s="18"/>
      <c r="G4" s="22">
        <v>0.0</v>
      </c>
      <c r="H4" s="22">
        <v>0.0</v>
      </c>
      <c r="I4" s="22">
        <v>0.0</v>
      </c>
      <c r="J4" s="22">
        <v>0.0</v>
      </c>
      <c r="K4" s="22">
        <v>136.3</v>
      </c>
      <c r="L4" s="22">
        <v>68.101108</v>
      </c>
    </row>
    <row r="5" ht="22.5" customHeight="1">
      <c r="A5" s="16" t="s">
        <v>83</v>
      </c>
      <c r="B5" s="22">
        <v>11037.2</v>
      </c>
      <c r="C5" s="22">
        <v>1904.0</v>
      </c>
      <c r="D5" s="22">
        <v>52.5</v>
      </c>
      <c r="E5" s="22">
        <v>327.4</v>
      </c>
      <c r="F5" s="22">
        <v>0.0</v>
      </c>
      <c r="G5" s="18"/>
      <c r="H5" s="18"/>
      <c r="I5" s="22">
        <v>0.0</v>
      </c>
      <c r="J5" s="22">
        <v>116.1</v>
      </c>
      <c r="K5" s="22">
        <v>355.79999999999995</v>
      </c>
      <c r="L5" s="22">
        <v>856.6</v>
      </c>
    </row>
    <row r="6" ht="22.5" customHeight="1">
      <c r="A6" s="16" t="s">
        <v>97</v>
      </c>
      <c r="B6" s="18"/>
      <c r="C6" s="18"/>
      <c r="D6" s="18"/>
      <c r="E6" s="18"/>
      <c r="F6" s="18"/>
      <c r="G6" s="18"/>
      <c r="H6" s="18"/>
      <c r="I6" s="18"/>
      <c r="J6" s="22">
        <v>0.0</v>
      </c>
      <c r="K6" s="22">
        <v>0.0</v>
      </c>
      <c r="L6" s="22">
        <v>0.0</v>
      </c>
    </row>
    <row r="7" ht="22.5" customHeight="1">
      <c r="A7" s="16" t="s">
        <v>109</v>
      </c>
      <c r="B7" s="18"/>
      <c r="C7" s="18"/>
      <c r="D7" s="18"/>
      <c r="E7" s="18"/>
      <c r="F7" s="18"/>
      <c r="G7" s="18"/>
      <c r="H7" s="18"/>
      <c r="I7" s="18"/>
      <c r="J7" s="22">
        <v>0.0</v>
      </c>
      <c r="K7" s="22">
        <v>0.0</v>
      </c>
      <c r="L7" s="22">
        <v>0.0</v>
      </c>
    </row>
    <row r="8" ht="22.5" customHeight="1">
      <c r="A8" s="16" t="s">
        <v>114</v>
      </c>
      <c r="B8" s="22">
        <v>119819.1</v>
      </c>
      <c r="C8" s="22">
        <v>29161.9</v>
      </c>
      <c r="D8" s="22">
        <v>53086.600000000006</v>
      </c>
      <c r="E8" s="22">
        <v>43687.6</v>
      </c>
      <c r="F8" s="22">
        <v>8965.2</v>
      </c>
      <c r="G8" s="22">
        <v>20138.399999999998</v>
      </c>
      <c r="H8" s="22">
        <v>4989.8</v>
      </c>
      <c r="I8" s="22">
        <v>4218.8</v>
      </c>
      <c r="J8" s="22">
        <v>2182.1</v>
      </c>
      <c r="K8" s="22">
        <v>557.5</v>
      </c>
      <c r="L8" s="22">
        <v>2981.711932</v>
      </c>
    </row>
    <row r="9" ht="22.5" customHeight="1">
      <c r="A9" s="16" t="s">
        <v>118</v>
      </c>
      <c r="B9" s="18"/>
      <c r="C9" s="18"/>
      <c r="D9" s="18"/>
      <c r="E9" s="18"/>
      <c r="F9" s="22">
        <v>1093.2</v>
      </c>
      <c r="G9" s="22">
        <v>315.7</v>
      </c>
      <c r="H9" s="22">
        <v>0.0</v>
      </c>
      <c r="I9" s="22">
        <v>13296.1</v>
      </c>
      <c r="J9" s="22">
        <v>5599.1</v>
      </c>
      <c r="K9" s="22">
        <v>151.8</v>
      </c>
      <c r="L9" s="22">
        <v>3097.996999999999</v>
      </c>
    </row>
    <row r="10" ht="22.5" customHeight="1">
      <c r="A10" s="16" t="s">
        <v>122</v>
      </c>
      <c r="B10" s="18"/>
      <c r="C10" s="18"/>
      <c r="D10" s="18"/>
      <c r="E10" s="18"/>
      <c r="F10" s="22">
        <v>463.3</v>
      </c>
      <c r="G10" s="22">
        <v>215.9</v>
      </c>
      <c r="H10" s="22">
        <v>202.5</v>
      </c>
      <c r="I10" s="22">
        <v>0.0</v>
      </c>
      <c r="J10" s="22">
        <v>625.7</v>
      </c>
      <c r="K10" s="22">
        <v>1409.6</v>
      </c>
      <c r="L10" s="22">
        <v>11592.695917000001</v>
      </c>
    </row>
    <row r="11" ht="22.5" customHeight="1">
      <c r="A11" s="16" t="s">
        <v>131</v>
      </c>
      <c r="B11" s="22">
        <v>32070.4</v>
      </c>
      <c r="C11" s="22">
        <v>17932.1</v>
      </c>
      <c r="D11" s="22">
        <v>13532.5</v>
      </c>
      <c r="E11" s="22">
        <v>2389.9</v>
      </c>
      <c r="F11" s="22">
        <v>1258.1000000000001</v>
      </c>
      <c r="G11" s="22">
        <v>15375.3</v>
      </c>
      <c r="H11" s="22">
        <v>32111.9</v>
      </c>
      <c r="I11" s="22">
        <v>150127.6</v>
      </c>
      <c r="J11" s="22">
        <v>74949.50000000001</v>
      </c>
      <c r="K11" s="22">
        <v>143242.3</v>
      </c>
      <c r="L11" s="22">
        <v>113209.183842</v>
      </c>
      <c r="M11" s="48"/>
    </row>
    <row r="12" ht="22.5" customHeight="1">
      <c r="A12" s="16" t="s">
        <v>138</v>
      </c>
      <c r="B12" s="18"/>
      <c r="C12" s="18"/>
      <c r="D12" s="22">
        <v>996.7</v>
      </c>
      <c r="E12" s="22">
        <v>482.4</v>
      </c>
      <c r="F12" s="18"/>
      <c r="G12" s="22">
        <v>154.0</v>
      </c>
      <c r="H12" s="22">
        <v>954.7</v>
      </c>
      <c r="I12" s="22">
        <v>1.8</v>
      </c>
      <c r="J12" s="22">
        <v>2830.8</v>
      </c>
      <c r="K12" s="22">
        <v>2672.5</v>
      </c>
      <c r="L12" s="22">
        <v>1867.912833</v>
      </c>
      <c r="M12" s="48"/>
    </row>
    <row r="13" ht="22.5" customHeight="1">
      <c r="A13" s="16" t="s">
        <v>144</v>
      </c>
      <c r="B13" s="18"/>
      <c r="C13" s="18"/>
      <c r="D13" s="22">
        <v>0.0</v>
      </c>
      <c r="E13" s="22">
        <v>0.0</v>
      </c>
      <c r="F13" s="22">
        <v>85.8</v>
      </c>
      <c r="G13" s="22">
        <v>11.7</v>
      </c>
      <c r="H13" s="22">
        <v>1288.3</v>
      </c>
      <c r="I13" s="22">
        <v>18208.699999999997</v>
      </c>
      <c r="J13" s="22">
        <v>1560.3999999999999</v>
      </c>
      <c r="K13" s="22">
        <v>2408.4</v>
      </c>
      <c r="L13" s="22">
        <v>10234.661556</v>
      </c>
    </row>
    <row r="14" ht="22.5" customHeight="1">
      <c r="A14" s="16" t="s">
        <v>150</v>
      </c>
      <c r="B14" s="22">
        <v>27625.9</v>
      </c>
      <c r="C14" s="18"/>
      <c r="D14" s="22">
        <v>0.0</v>
      </c>
      <c r="E14" s="22">
        <v>12046.2</v>
      </c>
      <c r="F14" s="22">
        <v>5433.7</v>
      </c>
      <c r="G14" s="22">
        <v>94981.59999999999</v>
      </c>
      <c r="H14" s="22">
        <v>23878.0</v>
      </c>
      <c r="I14" s="22">
        <v>47499.299999999996</v>
      </c>
      <c r="J14" s="22">
        <v>54790.100000000006</v>
      </c>
      <c r="K14" s="22">
        <v>54228.7</v>
      </c>
      <c r="L14" s="22">
        <v>122213.741608</v>
      </c>
    </row>
    <row r="15" ht="22.5" customHeight="1">
      <c r="A15" s="16" t="s">
        <v>157</v>
      </c>
      <c r="B15" s="22">
        <v>41824.1</v>
      </c>
      <c r="C15" s="22">
        <v>74829.4</v>
      </c>
      <c r="D15" s="22">
        <v>68769.20000000001</v>
      </c>
      <c r="E15" s="22">
        <v>41027.50000000001</v>
      </c>
      <c r="F15" s="22">
        <v>47812.8</v>
      </c>
      <c r="G15" s="22">
        <v>5165.700000000001</v>
      </c>
      <c r="H15" s="22">
        <v>41910.7</v>
      </c>
      <c r="I15" s="22">
        <v>215995.4</v>
      </c>
      <c r="J15" s="22">
        <v>81890.4</v>
      </c>
      <c r="K15" s="22">
        <v>534484.5</v>
      </c>
      <c r="L15" s="22">
        <v>117331.53231599988</v>
      </c>
    </row>
    <row r="16" ht="22.5" customHeight="1">
      <c r="A16" s="16" t="s">
        <v>165</v>
      </c>
      <c r="B16" s="22">
        <v>22483.8</v>
      </c>
      <c r="C16" s="22">
        <v>10751.6</v>
      </c>
      <c r="D16" s="22">
        <v>15041.000000000002</v>
      </c>
      <c r="E16" s="22">
        <v>21787.0</v>
      </c>
      <c r="F16" s="22">
        <v>30483.5</v>
      </c>
      <c r="G16" s="22">
        <v>10774.9</v>
      </c>
      <c r="H16" s="22">
        <v>20058.3</v>
      </c>
      <c r="I16" s="22">
        <v>8404.0</v>
      </c>
      <c r="J16" s="22">
        <v>35909.299999999996</v>
      </c>
      <c r="K16" s="22">
        <v>58952.2</v>
      </c>
      <c r="L16" s="22">
        <v>27593.35926199999</v>
      </c>
    </row>
    <row r="17" ht="22.5" customHeight="1">
      <c r="A17" s="16" t="s">
        <v>174</v>
      </c>
      <c r="B17" s="22">
        <v>0.0</v>
      </c>
      <c r="C17" s="22">
        <v>224.5</v>
      </c>
      <c r="D17" s="22">
        <v>18.0</v>
      </c>
      <c r="E17" s="22">
        <v>224.10000000000002</v>
      </c>
      <c r="F17" s="22">
        <v>27647.2</v>
      </c>
      <c r="G17" s="22">
        <v>1078.3</v>
      </c>
      <c r="H17" s="22">
        <v>3100.6000000000004</v>
      </c>
      <c r="I17" s="22">
        <v>1397.6</v>
      </c>
      <c r="J17" s="22">
        <v>19658.899999999998</v>
      </c>
      <c r="K17" s="22">
        <v>6082.0</v>
      </c>
      <c r="L17" s="22">
        <v>7308.273301</v>
      </c>
    </row>
    <row r="18" ht="22.5" customHeight="1">
      <c r="A18" s="16" t="s">
        <v>179</v>
      </c>
      <c r="B18" s="22">
        <v>25146.399999999998</v>
      </c>
      <c r="C18" s="22">
        <v>29766.8</v>
      </c>
      <c r="D18" s="22">
        <v>14927.599999999999</v>
      </c>
      <c r="E18" s="22">
        <v>1452.4999999999998</v>
      </c>
      <c r="F18" s="22">
        <v>431.6</v>
      </c>
      <c r="G18" s="22">
        <v>1599.6</v>
      </c>
      <c r="H18" s="22">
        <v>2120.5</v>
      </c>
      <c r="I18" s="22">
        <v>3316.1000000000004</v>
      </c>
      <c r="J18" s="22">
        <v>94041.2</v>
      </c>
      <c r="K18" s="22">
        <v>12331.3</v>
      </c>
      <c r="L18" s="22">
        <v>200867.041587</v>
      </c>
    </row>
    <row r="19" ht="22.5" customHeight="1">
      <c r="A19" s="16" t="s">
        <v>183</v>
      </c>
      <c r="B19" s="18"/>
      <c r="C19" s="18"/>
      <c r="D19" s="18"/>
      <c r="E19" s="22">
        <v>360.0</v>
      </c>
      <c r="F19" s="22">
        <v>0.0</v>
      </c>
      <c r="G19" s="22">
        <v>95.0</v>
      </c>
      <c r="H19" s="22">
        <v>382.7</v>
      </c>
      <c r="I19" s="22">
        <v>7339.700000000001</v>
      </c>
      <c r="J19" s="22">
        <v>13008.0</v>
      </c>
      <c r="K19" s="22">
        <v>12964.5</v>
      </c>
      <c r="L19" s="22">
        <v>10663.592503</v>
      </c>
    </row>
    <row r="20" ht="22.5" customHeight="1">
      <c r="A20" s="16" t="s">
        <v>186</v>
      </c>
      <c r="B20" s="18"/>
      <c r="C20" s="18"/>
      <c r="D20" s="18"/>
      <c r="E20" s="22">
        <v>1670.0</v>
      </c>
      <c r="F20" s="22">
        <v>200.0</v>
      </c>
      <c r="G20" s="22">
        <v>80.0</v>
      </c>
      <c r="H20" s="22">
        <v>3480.0</v>
      </c>
      <c r="I20" s="22">
        <v>1000.0</v>
      </c>
      <c r="J20" s="22">
        <v>521.0</v>
      </c>
      <c r="K20" s="22">
        <v>4006.3</v>
      </c>
      <c r="L20" s="22">
        <v>616.5</v>
      </c>
    </row>
    <row r="21" ht="22.5" customHeight="1">
      <c r="A21" s="16" t="s">
        <v>191</v>
      </c>
      <c r="B21" s="22">
        <v>1521.6</v>
      </c>
      <c r="C21" s="22">
        <v>6402.5</v>
      </c>
      <c r="D21" s="22">
        <v>59220.6</v>
      </c>
      <c r="E21" s="22">
        <v>7176.0</v>
      </c>
      <c r="F21" s="22">
        <v>12026.7</v>
      </c>
      <c r="G21" s="22">
        <v>21338.899999999998</v>
      </c>
      <c r="H21" s="22">
        <v>38021.5</v>
      </c>
      <c r="I21" s="22">
        <v>22267.8</v>
      </c>
      <c r="J21" s="22">
        <v>14454.0</v>
      </c>
      <c r="K21" s="22">
        <v>2504.2999999999997</v>
      </c>
      <c r="L21" s="22">
        <v>10706.994048</v>
      </c>
    </row>
    <row r="22" ht="22.5" customHeight="1">
      <c r="A22" s="16" t="s">
        <v>196</v>
      </c>
      <c r="B22" s="18"/>
      <c r="C22" s="22">
        <v>14849.9</v>
      </c>
      <c r="D22" s="22">
        <v>0.0</v>
      </c>
      <c r="E22" s="22">
        <v>19773.0</v>
      </c>
      <c r="F22" s="22">
        <v>1635.5</v>
      </c>
      <c r="G22" s="22">
        <v>5806.5</v>
      </c>
      <c r="H22" s="22">
        <v>3135.3999999999996</v>
      </c>
      <c r="I22" s="22">
        <v>15676.8</v>
      </c>
      <c r="J22" s="22">
        <v>11780.099999999999</v>
      </c>
      <c r="K22" s="22">
        <v>8491.300000000001</v>
      </c>
      <c r="L22" s="22">
        <v>10364.149356000002</v>
      </c>
    </row>
    <row r="23" ht="22.5" customHeight="1">
      <c r="A23" s="16" t="s">
        <v>199</v>
      </c>
      <c r="B23" s="18"/>
      <c r="C23" s="18"/>
      <c r="D23" s="22">
        <v>6911.8</v>
      </c>
      <c r="E23" s="22">
        <v>869.7</v>
      </c>
      <c r="F23" s="22">
        <v>3460.9</v>
      </c>
      <c r="G23" s="22">
        <v>4698.1</v>
      </c>
      <c r="H23" s="22">
        <v>2032.7</v>
      </c>
      <c r="I23" s="22">
        <v>3783.3</v>
      </c>
      <c r="J23" s="22">
        <v>1141.5</v>
      </c>
      <c r="K23" s="22">
        <v>6441.9</v>
      </c>
      <c r="L23" s="22">
        <v>2440.688123</v>
      </c>
    </row>
    <row r="24" ht="22.5" customHeight="1">
      <c r="A24" s="16" t="s">
        <v>204</v>
      </c>
      <c r="B24" s="22">
        <v>7865.099999999999</v>
      </c>
      <c r="C24" s="22">
        <v>112.0</v>
      </c>
      <c r="D24" s="22">
        <v>16131.4</v>
      </c>
      <c r="E24" s="22">
        <v>14027.699999999999</v>
      </c>
      <c r="F24" s="22">
        <v>32374.399999999998</v>
      </c>
      <c r="G24" s="22">
        <v>2124.3</v>
      </c>
      <c r="H24" s="22">
        <v>71.9</v>
      </c>
      <c r="I24" s="22">
        <v>10135.7</v>
      </c>
      <c r="J24" s="22">
        <v>55429.399999999994</v>
      </c>
      <c r="K24" s="22">
        <v>7997.400000000001</v>
      </c>
      <c r="L24" s="22">
        <v>21092.80263599999</v>
      </c>
    </row>
    <row r="25" ht="22.5" customHeight="1">
      <c r="A25" s="16" t="s">
        <v>206</v>
      </c>
      <c r="B25" s="18"/>
      <c r="C25" s="18"/>
      <c r="D25" s="18"/>
      <c r="E25" s="18"/>
      <c r="F25" s="18"/>
      <c r="G25" s="22">
        <v>0.0</v>
      </c>
      <c r="H25" s="22">
        <v>34.2</v>
      </c>
      <c r="I25" s="22">
        <v>0.0</v>
      </c>
      <c r="J25" s="22">
        <v>472.70000000000005</v>
      </c>
      <c r="K25" s="22">
        <v>0.0</v>
      </c>
      <c r="L25" s="22">
        <v>0.0</v>
      </c>
    </row>
    <row r="26" ht="22.5" customHeight="1">
      <c r="A26" s="16" t="s">
        <v>213</v>
      </c>
      <c r="B26" s="18"/>
      <c r="C26" s="22">
        <v>18856.8</v>
      </c>
      <c r="D26" s="22">
        <v>18400.0</v>
      </c>
      <c r="E26" s="22">
        <v>16735.5</v>
      </c>
      <c r="F26" s="22">
        <v>6779.3</v>
      </c>
      <c r="G26" s="22">
        <v>143.7</v>
      </c>
      <c r="H26" s="22">
        <v>4199.4</v>
      </c>
      <c r="I26" s="22">
        <v>21368.6</v>
      </c>
      <c r="J26" s="22">
        <v>1125.3999999999999</v>
      </c>
      <c r="K26" s="22">
        <v>11829.3</v>
      </c>
      <c r="L26" s="22">
        <v>13585.171284</v>
      </c>
    </row>
    <row r="27" ht="22.5" customHeight="1">
      <c r="A27" s="16" t="s">
        <v>218</v>
      </c>
      <c r="B27" s="18"/>
      <c r="C27" s="18"/>
      <c r="D27" s="18"/>
      <c r="E27" s="18"/>
      <c r="F27" s="18"/>
      <c r="G27" s="22">
        <v>0.0</v>
      </c>
      <c r="H27" s="22">
        <v>0.0</v>
      </c>
      <c r="I27" s="22">
        <v>1022.9</v>
      </c>
      <c r="J27" s="22">
        <v>393.2</v>
      </c>
      <c r="K27" s="22">
        <v>2525.2</v>
      </c>
      <c r="L27" s="22">
        <v>2511.448674</v>
      </c>
    </row>
    <row r="28" ht="22.5" customHeight="1">
      <c r="A28" s="16" t="s">
        <v>223</v>
      </c>
      <c r="B28" s="22">
        <v>0.0</v>
      </c>
      <c r="C28" s="22">
        <v>0.0</v>
      </c>
      <c r="D28" s="22">
        <v>0.0</v>
      </c>
      <c r="E28" s="18"/>
      <c r="F28" s="18"/>
      <c r="G28" s="22">
        <v>0.0</v>
      </c>
      <c r="H28" s="22">
        <v>0.0</v>
      </c>
      <c r="I28" s="18"/>
      <c r="J28" s="22">
        <v>0.0</v>
      </c>
      <c r="K28" s="22">
        <v>860.0</v>
      </c>
      <c r="L28" s="22">
        <v>1541.282883</v>
      </c>
    </row>
    <row r="29" ht="22.5" customHeight="1">
      <c r="A29" s="16" t="s">
        <v>226</v>
      </c>
      <c r="B29" s="22">
        <v>115341.6</v>
      </c>
      <c r="C29" s="22">
        <v>171.3</v>
      </c>
      <c r="D29" s="22">
        <v>151.1</v>
      </c>
      <c r="E29" s="22">
        <v>8211.5</v>
      </c>
      <c r="F29" s="22">
        <v>66.0</v>
      </c>
      <c r="G29" s="22">
        <v>59.9</v>
      </c>
      <c r="H29" s="22">
        <v>0.0</v>
      </c>
      <c r="I29" s="22">
        <v>2259.1000000000004</v>
      </c>
      <c r="J29" s="22">
        <v>1672.7</v>
      </c>
      <c r="K29" s="22">
        <v>3104.2000000000003</v>
      </c>
      <c r="L29" s="22">
        <v>3487.4443359999996</v>
      </c>
    </row>
    <row r="30" ht="22.5" customHeight="1">
      <c r="A30" s="16" t="s">
        <v>228</v>
      </c>
      <c r="B30" s="18"/>
      <c r="C30" s="18"/>
      <c r="D30" s="22">
        <v>28745.7</v>
      </c>
      <c r="E30" s="22">
        <v>70997.7</v>
      </c>
      <c r="F30" s="22">
        <v>0.0</v>
      </c>
      <c r="G30" s="18"/>
      <c r="H30" s="22">
        <v>9653.6</v>
      </c>
      <c r="I30" s="18"/>
      <c r="J30" s="22">
        <v>0.0</v>
      </c>
      <c r="K30" s="22">
        <v>13155.8</v>
      </c>
      <c r="L30" s="22">
        <v>123.9</v>
      </c>
    </row>
    <row r="31" ht="22.5" customHeight="1">
      <c r="A31" s="16" t="s">
        <v>230</v>
      </c>
      <c r="B31" s="18"/>
      <c r="C31" s="18"/>
      <c r="D31" s="18"/>
      <c r="E31" s="18"/>
      <c r="F31" s="18"/>
      <c r="G31" s="18"/>
      <c r="H31" s="18"/>
      <c r="I31" s="22">
        <v>0.0</v>
      </c>
      <c r="J31" s="22">
        <v>0.0</v>
      </c>
      <c r="K31" s="22">
        <v>0.0</v>
      </c>
      <c r="L31" s="22">
        <v>4373.75</v>
      </c>
    </row>
    <row r="32" ht="22.5" customHeight="1">
      <c r="A32" s="16" t="s">
        <v>233</v>
      </c>
      <c r="B32" s="22">
        <v>6248.000000000001</v>
      </c>
      <c r="C32" s="22">
        <v>18225.399999999998</v>
      </c>
      <c r="D32" s="22">
        <v>10451.8</v>
      </c>
      <c r="E32" s="22">
        <v>2291.4</v>
      </c>
      <c r="F32" s="22">
        <v>494.9</v>
      </c>
      <c r="G32" s="22">
        <v>4810.5</v>
      </c>
      <c r="H32" s="22">
        <v>6606.5</v>
      </c>
      <c r="I32" s="22">
        <v>19314.7</v>
      </c>
      <c r="J32" s="22">
        <v>12432.0</v>
      </c>
      <c r="K32" s="22">
        <v>2768.9000000000005</v>
      </c>
      <c r="L32" s="22">
        <v>18317.304892</v>
      </c>
    </row>
    <row r="33" ht="22.5" customHeight="1">
      <c r="A33" s="16" t="s">
        <v>239</v>
      </c>
      <c r="B33" s="22">
        <v>636.9000000000001</v>
      </c>
      <c r="C33" s="22">
        <v>1665.8</v>
      </c>
      <c r="D33" s="22">
        <v>14967.5</v>
      </c>
      <c r="E33" s="22">
        <v>19574.300000000003</v>
      </c>
      <c r="F33" s="22">
        <v>135607.7</v>
      </c>
      <c r="G33" s="22">
        <v>13201.000000000002</v>
      </c>
      <c r="H33" s="22">
        <v>6091.099999999999</v>
      </c>
      <c r="I33" s="22">
        <v>45590.9</v>
      </c>
      <c r="J33" s="22">
        <v>118030.7</v>
      </c>
      <c r="K33" s="22">
        <v>33295.7</v>
      </c>
      <c r="L33" s="22">
        <v>365078.802386</v>
      </c>
    </row>
    <row r="34" ht="22.5" customHeight="1">
      <c r="A34" s="16" t="s">
        <v>241</v>
      </c>
      <c r="B34" s="18"/>
      <c r="C34" s="18"/>
      <c r="D34" s="18"/>
      <c r="E34" s="18"/>
      <c r="F34" s="22">
        <v>0.0</v>
      </c>
      <c r="G34" s="22">
        <v>80.0</v>
      </c>
      <c r="H34" s="22">
        <v>0.0</v>
      </c>
      <c r="I34" s="22">
        <v>0.0</v>
      </c>
      <c r="J34" s="22">
        <v>52.5</v>
      </c>
      <c r="K34" s="22">
        <v>0.0</v>
      </c>
      <c r="L34" s="22">
        <v>1175.6975850000001</v>
      </c>
    </row>
    <row r="35" ht="22.5" customHeight="1">
      <c r="A35" s="16" t="s">
        <v>245</v>
      </c>
      <c r="B35" s="22">
        <v>30762.5</v>
      </c>
      <c r="C35" s="22">
        <v>13253.5</v>
      </c>
      <c r="D35" s="22">
        <v>16996.9</v>
      </c>
      <c r="E35" s="22">
        <v>959.7</v>
      </c>
      <c r="F35" s="22">
        <v>1603.4</v>
      </c>
      <c r="G35" s="22">
        <v>59250.399999999994</v>
      </c>
      <c r="H35" s="22">
        <v>6557.599999999999</v>
      </c>
      <c r="I35" s="22">
        <v>0.0</v>
      </c>
      <c r="J35" s="22">
        <v>1906.2</v>
      </c>
      <c r="K35" s="22">
        <v>29664.300000000003</v>
      </c>
      <c r="L35" s="22">
        <v>44303.41606999999</v>
      </c>
    </row>
    <row r="36" ht="22.5" customHeight="1">
      <c r="A36" s="16" t="s">
        <v>248</v>
      </c>
      <c r="B36" s="18"/>
      <c r="C36" s="18"/>
      <c r="D36" s="18"/>
      <c r="E36" s="18"/>
      <c r="F36" s="22">
        <v>1738.7</v>
      </c>
      <c r="G36" s="22">
        <v>0.0</v>
      </c>
      <c r="H36" s="22">
        <v>0.0</v>
      </c>
      <c r="I36" s="22">
        <v>1740.6000000000001</v>
      </c>
      <c r="J36" s="22">
        <v>0.0</v>
      </c>
      <c r="K36" s="22">
        <v>4793.0</v>
      </c>
      <c r="L36" s="22">
        <v>3401.475125</v>
      </c>
    </row>
    <row r="37" ht="22.5" customHeight="1">
      <c r="A37" s="16" t="s">
        <v>252</v>
      </c>
      <c r="B37" s="22">
        <v>1136.4</v>
      </c>
      <c r="C37" s="22">
        <v>179.8</v>
      </c>
      <c r="D37" s="22">
        <v>268.8</v>
      </c>
      <c r="E37" s="22">
        <v>32.8</v>
      </c>
      <c r="F37" s="22">
        <v>368.2</v>
      </c>
      <c r="G37" s="22">
        <v>28.5</v>
      </c>
      <c r="H37" s="22">
        <v>0.0</v>
      </c>
      <c r="I37" s="22">
        <v>0.0</v>
      </c>
      <c r="J37" s="22">
        <v>0.0</v>
      </c>
      <c r="K37" s="22">
        <v>4.2</v>
      </c>
      <c r="L37" s="22">
        <v>13.539244</v>
      </c>
    </row>
    <row r="38" ht="22.5" customHeight="1">
      <c r="A38" s="16" t="s">
        <v>255</v>
      </c>
      <c r="B38" s="18"/>
      <c r="C38" s="18"/>
      <c r="D38" s="22">
        <v>0.0</v>
      </c>
      <c r="E38" s="22">
        <v>0.0</v>
      </c>
      <c r="F38" s="22">
        <v>0.0</v>
      </c>
      <c r="G38" s="22">
        <v>0.0</v>
      </c>
      <c r="H38" s="22">
        <v>310.0</v>
      </c>
      <c r="I38" s="22">
        <v>184.0</v>
      </c>
      <c r="J38" s="22">
        <v>0.0</v>
      </c>
      <c r="K38" s="22">
        <v>13696.100000000002</v>
      </c>
      <c r="L38" s="22">
        <v>229.08924399999998</v>
      </c>
    </row>
    <row r="39" ht="22.5" customHeight="1">
      <c r="A39" s="16" t="s">
        <v>258</v>
      </c>
      <c r="B39" s="18"/>
      <c r="C39" s="18"/>
      <c r="D39" s="18"/>
      <c r="E39" s="18"/>
      <c r="F39" s="18"/>
      <c r="G39" s="22">
        <v>0.0</v>
      </c>
      <c r="H39" s="18"/>
      <c r="I39" s="22">
        <v>0.0</v>
      </c>
      <c r="J39" s="22">
        <v>0.0</v>
      </c>
      <c r="K39" s="22">
        <v>0.0</v>
      </c>
      <c r="L39" s="22">
        <v>212.2429</v>
      </c>
    </row>
    <row r="40" ht="22.5" customHeight="1">
      <c r="A40" s="16" t="s">
        <v>266</v>
      </c>
      <c r="B40" s="22">
        <v>0.0</v>
      </c>
      <c r="C40" s="18"/>
      <c r="D40" s="22">
        <v>0.0</v>
      </c>
      <c r="E40" s="22">
        <v>4400450.0</v>
      </c>
      <c r="F40" s="22">
        <v>3165458.0</v>
      </c>
      <c r="G40" s="22">
        <v>106604.0</v>
      </c>
      <c r="H40" s="22">
        <v>956.1</v>
      </c>
      <c r="I40" s="22">
        <v>8937.3</v>
      </c>
      <c r="J40" s="22">
        <v>35107.0</v>
      </c>
      <c r="K40" s="22">
        <v>20588.5</v>
      </c>
      <c r="L40" s="22">
        <v>25176.286753999993</v>
      </c>
    </row>
    <row r="41" ht="22.5" customHeight="1">
      <c r="A41" s="16" t="s">
        <v>276</v>
      </c>
      <c r="B41" s="18"/>
      <c r="C41" s="18"/>
      <c r="D41" s="18"/>
      <c r="E41" s="18"/>
      <c r="F41" s="22">
        <v>14225.5</v>
      </c>
      <c r="G41" s="22">
        <v>1371.6000000000001</v>
      </c>
      <c r="H41" s="22">
        <v>48969.299999999996</v>
      </c>
      <c r="I41" s="22">
        <v>31291.7</v>
      </c>
      <c r="J41" s="22">
        <v>71557.70000000001</v>
      </c>
      <c r="K41" s="22">
        <v>30382.2</v>
      </c>
      <c r="L41" s="22">
        <v>52526.01120200001</v>
      </c>
    </row>
    <row r="42" ht="22.5" customHeight="1">
      <c r="A42" s="16" t="s">
        <v>283</v>
      </c>
      <c r="B42" s="18"/>
      <c r="C42" s="18"/>
      <c r="D42" s="18"/>
      <c r="E42" s="18"/>
      <c r="F42" s="22">
        <v>0.0</v>
      </c>
      <c r="G42" s="22">
        <v>189.10000000000002</v>
      </c>
      <c r="H42" s="22">
        <v>5889.5</v>
      </c>
      <c r="I42" s="22">
        <v>104.8</v>
      </c>
      <c r="J42" s="22">
        <v>1930.7</v>
      </c>
      <c r="K42" s="22">
        <v>4043.8999999999996</v>
      </c>
      <c r="L42" s="22">
        <v>4081.3014120000003</v>
      </c>
    </row>
    <row r="43" ht="22.5" customHeight="1">
      <c r="A43" s="16" t="s">
        <v>289</v>
      </c>
      <c r="B43" s="18"/>
      <c r="C43" s="18"/>
      <c r="D43" s="18"/>
      <c r="E43" s="22">
        <v>273.0</v>
      </c>
      <c r="F43" s="22">
        <v>310.0</v>
      </c>
      <c r="G43" s="22">
        <v>150.0</v>
      </c>
      <c r="H43" s="22">
        <v>2307.0</v>
      </c>
      <c r="I43" s="22">
        <v>18994.9</v>
      </c>
      <c r="J43" s="22">
        <v>20518.1</v>
      </c>
      <c r="K43" s="22">
        <v>27144.800000000003</v>
      </c>
      <c r="L43" s="22">
        <v>68073.514174</v>
      </c>
    </row>
    <row r="44" ht="22.5" customHeight="1">
      <c r="A44" s="16" t="s">
        <v>293</v>
      </c>
      <c r="B44" s="22">
        <v>9295.1</v>
      </c>
      <c r="C44" s="22">
        <v>8568.0</v>
      </c>
      <c r="D44" s="22">
        <v>36116.9</v>
      </c>
      <c r="E44" s="22">
        <v>47595.700000000004</v>
      </c>
      <c r="F44" s="22">
        <v>24390.7</v>
      </c>
      <c r="G44" s="22">
        <v>25121.2</v>
      </c>
      <c r="H44" s="22">
        <v>53503.8</v>
      </c>
      <c r="I44" s="22">
        <v>133530.8</v>
      </c>
      <c r="J44" s="22">
        <v>182661.4</v>
      </c>
      <c r="K44" s="22">
        <v>193531.4</v>
      </c>
      <c r="L44" s="22">
        <v>635378.6879259999</v>
      </c>
    </row>
    <row r="45" ht="22.5" customHeight="1">
      <c r="A45" s="16" t="s">
        <v>298</v>
      </c>
      <c r="B45" s="22">
        <v>64652.3</v>
      </c>
      <c r="C45" s="22">
        <v>71875.5</v>
      </c>
      <c r="D45" s="22">
        <v>36594.1</v>
      </c>
      <c r="E45" s="22">
        <v>79918.90000000001</v>
      </c>
      <c r="F45" s="22">
        <v>164774.09999999998</v>
      </c>
      <c r="G45" s="22">
        <v>118388.19999999998</v>
      </c>
      <c r="H45" s="22">
        <v>61998.8</v>
      </c>
      <c r="I45" s="22">
        <v>90286.4</v>
      </c>
      <c r="J45" s="22">
        <v>129077.6</v>
      </c>
      <c r="K45" s="22">
        <v>180462.09999999998</v>
      </c>
      <c r="L45" s="22">
        <v>239560.13587400003</v>
      </c>
    </row>
    <row r="46" ht="22.5" customHeight="1">
      <c r="A46" s="16" t="s">
        <v>300</v>
      </c>
      <c r="B46" s="22">
        <v>21937.3</v>
      </c>
      <c r="C46" s="18"/>
      <c r="D46" s="18"/>
      <c r="E46" s="22">
        <v>532.3</v>
      </c>
      <c r="F46" s="22">
        <v>21670.4</v>
      </c>
      <c r="G46" s="22">
        <v>12659.8</v>
      </c>
      <c r="H46" s="22">
        <v>12.7</v>
      </c>
      <c r="I46" s="22">
        <v>30519.000000000004</v>
      </c>
      <c r="J46" s="22">
        <v>39920.3</v>
      </c>
      <c r="K46" s="22">
        <v>122636.40000000001</v>
      </c>
      <c r="L46" s="22">
        <v>59299.89787</v>
      </c>
    </row>
    <row r="47" ht="22.5" customHeight="1">
      <c r="A47" s="16" t="s">
        <v>305</v>
      </c>
      <c r="B47" s="18"/>
      <c r="C47" s="18"/>
      <c r="D47" s="18"/>
      <c r="E47" s="18"/>
      <c r="F47" s="18"/>
      <c r="G47" s="18"/>
      <c r="H47" s="18"/>
      <c r="I47" s="18"/>
      <c r="J47" s="22">
        <v>0.0</v>
      </c>
      <c r="K47" s="18"/>
      <c r="L47" s="18"/>
    </row>
    <row r="48" ht="22.5" customHeight="1">
      <c r="A48" s="16" t="s">
        <v>308</v>
      </c>
      <c r="B48" s="18"/>
      <c r="C48" s="18"/>
      <c r="D48" s="18"/>
      <c r="E48" s="18"/>
      <c r="F48" s="22">
        <v>0.0</v>
      </c>
      <c r="G48" s="18"/>
      <c r="H48" s="18"/>
      <c r="I48" s="22">
        <v>0.0</v>
      </c>
      <c r="J48" s="22">
        <v>0.0</v>
      </c>
      <c r="K48" s="22">
        <v>0.0</v>
      </c>
      <c r="L48" s="22">
        <v>0.0</v>
      </c>
    </row>
    <row r="49" ht="22.5" customHeight="1">
      <c r="A49" s="16" t="s">
        <v>310</v>
      </c>
      <c r="B49" s="22">
        <v>455.3</v>
      </c>
      <c r="C49" s="18"/>
      <c r="D49" s="18"/>
      <c r="E49" s="22">
        <v>0.0</v>
      </c>
      <c r="F49" s="22">
        <v>1671686.7</v>
      </c>
      <c r="G49" s="22">
        <v>1722392.8</v>
      </c>
      <c r="H49" s="22">
        <v>31276.8</v>
      </c>
      <c r="I49" s="22">
        <v>646043.6</v>
      </c>
      <c r="J49" s="22">
        <v>2448254.7</v>
      </c>
      <c r="K49" s="22">
        <v>1030389.7</v>
      </c>
      <c r="L49" s="22">
        <v>3178176.9146029996</v>
      </c>
    </row>
    <row r="50" ht="22.5" customHeight="1">
      <c r="A50" s="16" t="s">
        <v>314</v>
      </c>
      <c r="B50" s="18"/>
      <c r="C50" s="18"/>
      <c r="D50" s="18"/>
      <c r="E50" s="18"/>
      <c r="F50" s="22">
        <v>0.0</v>
      </c>
      <c r="G50" s="22">
        <v>6878.2</v>
      </c>
      <c r="H50" s="22">
        <v>3400.0</v>
      </c>
      <c r="I50" s="22">
        <v>1023.5</v>
      </c>
      <c r="J50" s="22">
        <v>6113.900000000001</v>
      </c>
      <c r="K50" s="22">
        <v>10071.1</v>
      </c>
      <c r="L50" s="22">
        <v>4809.00861</v>
      </c>
    </row>
    <row r="51" ht="22.5" customHeight="1">
      <c r="A51" s="100" t="s">
        <v>316</v>
      </c>
      <c r="B51" s="101">
        <v>53089.6</v>
      </c>
      <c r="C51" s="101">
        <v>343712.5</v>
      </c>
      <c r="D51" s="101">
        <v>81239.40000000001</v>
      </c>
      <c r="E51" s="101">
        <v>509220.6</v>
      </c>
      <c r="F51" s="101">
        <v>716654.3</v>
      </c>
      <c r="G51" s="101">
        <v>469957.3</v>
      </c>
      <c r="H51" s="101">
        <v>770375.8999999999</v>
      </c>
      <c r="I51" s="101">
        <v>270984.3</v>
      </c>
      <c r="J51" s="101">
        <v>796940.6</v>
      </c>
      <c r="K51" s="101">
        <v>605783.8999999999</v>
      </c>
      <c r="L51" s="101">
        <v>1082356.650823</v>
      </c>
      <c r="M51" s="48"/>
    </row>
    <row r="52" ht="22.5" customHeight="1">
      <c r="A52" s="100" t="s">
        <v>320</v>
      </c>
      <c r="B52" s="101">
        <v>0.0</v>
      </c>
      <c r="C52" s="101">
        <v>3890.7000000000003</v>
      </c>
      <c r="D52" s="101">
        <v>13543.3</v>
      </c>
      <c r="E52" s="101">
        <v>46820.8</v>
      </c>
      <c r="F52" s="101">
        <v>9633.800000000001</v>
      </c>
      <c r="G52" s="101">
        <v>19274.100000000002</v>
      </c>
      <c r="H52" s="101">
        <v>27674.2</v>
      </c>
      <c r="I52" s="101">
        <v>71120.9</v>
      </c>
      <c r="J52" s="101">
        <v>270372.0</v>
      </c>
      <c r="K52" s="101">
        <v>96531.8</v>
      </c>
      <c r="L52" s="101">
        <v>160741.598689</v>
      </c>
      <c r="M52" s="48"/>
      <c r="P52" s="102">
        <f>L51+L52+L73+L79+L80+L81+L82+L84</f>
        <v>1313500.714</v>
      </c>
    </row>
    <row r="53" ht="22.5" customHeight="1">
      <c r="A53" s="16" t="s">
        <v>328</v>
      </c>
      <c r="B53" s="22">
        <v>0.0</v>
      </c>
      <c r="C53" s="22">
        <v>0.0</v>
      </c>
      <c r="D53" s="22">
        <v>20924.0</v>
      </c>
      <c r="E53" s="22">
        <v>1048.0</v>
      </c>
      <c r="F53" s="22">
        <v>534.4</v>
      </c>
      <c r="G53" s="22">
        <v>50.6</v>
      </c>
      <c r="H53" s="22">
        <v>1544.6</v>
      </c>
      <c r="I53" s="22">
        <v>33647.1</v>
      </c>
      <c r="J53" s="22">
        <v>32520.6</v>
      </c>
      <c r="K53" s="22">
        <v>13137.5</v>
      </c>
      <c r="L53" s="22">
        <v>3625.723737</v>
      </c>
    </row>
    <row r="54" ht="22.5" customHeight="1">
      <c r="A54" s="16" t="s">
        <v>331</v>
      </c>
      <c r="B54" s="18"/>
      <c r="C54" s="18"/>
      <c r="D54" s="22">
        <v>29245.0</v>
      </c>
      <c r="E54" s="22">
        <v>0.0</v>
      </c>
      <c r="F54" s="22">
        <v>3000.0</v>
      </c>
      <c r="G54" s="22">
        <v>192.6</v>
      </c>
      <c r="H54" s="22">
        <v>0.0</v>
      </c>
      <c r="I54" s="22">
        <v>0.0</v>
      </c>
      <c r="J54" s="22">
        <v>1191.3999999999999</v>
      </c>
      <c r="K54" s="22">
        <v>7967.0</v>
      </c>
      <c r="L54" s="22">
        <v>56695.958037000004</v>
      </c>
    </row>
    <row r="55" ht="22.5" customHeight="1">
      <c r="A55" s="16" t="s">
        <v>334</v>
      </c>
      <c r="B55" s="18"/>
      <c r="C55" s="18"/>
      <c r="D55" s="18"/>
      <c r="E55" s="22">
        <v>0.0</v>
      </c>
      <c r="F55" s="22">
        <v>11028.5</v>
      </c>
      <c r="G55" s="22">
        <v>939.9000000000001</v>
      </c>
      <c r="H55" s="22">
        <v>23403.600000000002</v>
      </c>
      <c r="I55" s="22">
        <v>2092.3</v>
      </c>
      <c r="J55" s="22">
        <v>0.0</v>
      </c>
      <c r="K55" s="22">
        <v>16986.2</v>
      </c>
      <c r="L55" s="22">
        <v>628.910697</v>
      </c>
    </row>
    <row r="56" ht="22.5" customHeight="1">
      <c r="A56" s="16" t="s">
        <v>340</v>
      </c>
      <c r="B56" s="22">
        <v>757479.3999999999</v>
      </c>
      <c r="C56" s="22">
        <v>1206.1</v>
      </c>
      <c r="D56" s="22">
        <v>0.0</v>
      </c>
      <c r="E56" s="22">
        <v>1200.0</v>
      </c>
      <c r="F56" s="22">
        <v>35002.4</v>
      </c>
      <c r="G56" s="22">
        <v>327.6</v>
      </c>
      <c r="H56" s="22">
        <v>107050.00000000001</v>
      </c>
      <c r="I56" s="22">
        <v>1268146.4</v>
      </c>
      <c r="J56" s="22">
        <v>221784.09999999998</v>
      </c>
      <c r="K56" s="22">
        <v>79170.20000000001</v>
      </c>
      <c r="L56" s="22">
        <v>761999.872447</v>
      </c>
    </row>
    <row r="57" ht="22.5" customHeight="1">
      <c r="A57" s="16" t="s">
        <v>342</v>
      </c>
      <c r="B57" s="22">
        <v>1560.5</v>
      </c>
      <c r="C57" s="22">
        <v>19828.7</v>
      </c>
      <c r="D57" s="22">
        <v>6997.1</v>
      </c>
      <c r="E57" s="22">
        <v>14435.099999999999</v>
      </c>
      <c r="F57" s="22">
        <v>7986.700000000001</v>
      </c>
      <c r="G57" s="22">
        <v>798.3999999999999</v>
      </c>
      <c r="H57" s="22">
        <v>3615.5</v>
      </c>
      <c r="I57" s="22">
        <v>8067.599999999999</v>
      </c>
      <c r="J57" s="22">
        <v>14680.900000000001</v>
      </c>
      <c r="K57" s="22">
        <v>6178.799999999999</v>
      </c>
      <c r="L57" s="22">
        <v>6262.469212000001</v>
      </c>
    </row>
    <row r="58" ht="22.5" customHeight="1">
      <c r="A58" s="16" t="s">
        <v>344</v>
      </c>
      <c r="B58" s="22">
        <v>3275.0</v>
      </c>
      <c r="C58" s="22">
        <v>27895.7</v>
      </c>
      <c r="D58" s="22">
        <v>8121.1</v>
      </c>
      <c r="E58" s="22">
        <v>8703.1</v>
      </c>
      <c r="F58" s="22">
        <v>59033.0</v>
      </c>
      <c r="G58" s="22">
        <v>27040.199999999997</v>
      </c>
      <c r="H58" s="22">
        <v>78452.1</v>
      </c>
      <c r="I58" s="22">
        <v>8014.1</v>
      </c>
      <c r="J58" s="22">
        <v>130424.9</v>
      </c>
      <c r="K58" s="22">
        <v>15895.999999999998</v>
      </c>
      <c r="L58" s="22">
        <v>28517.072112</v>
      </c>
    </row>
    <row r="59" ht="22.5" customHeight="1">
      <c r="A59" s="16" t="s">
        <v>345</v>
      </c>
      <c r="B59" s="18"/>
      <c r="C59" s="18"/>
      <c r="D59" s="18"/>
      <c r="E59" s="18"/>
      <c r="F59" s="22">
        <v>0.0</v>
      </c>
      <c r="G59" s="22">
        <v>0.0</v>
      </c>
      <c r="H59" s="22">
        <v>129.9</v>
      </c>
      <c r="I59" s="18"/>
      <c r="J59" s="22">
        <v>0.0</v>
      </c>
      <c r="K59" s="22">
        <v>244.4</v>
      </c>
      <c r="L59" s="22">
        <v>463.87466400000005</v>
      </c>
    </row>
    <row r="60" ht="22.5" customHeight="1">
      <c r="A60" s="16" t="s">
        <v>348</v>
      </c>
      <c r="B60" s="18"/>
      <c r="C60" s="18"/>
      <c r="D60" s="18"/>
      <c r="E60" s="18"/>
      <c r="F60" s="18"/>
      <c r="G60" s="18"/>
      <c r="H60" s="18"/>
      <c r="I60" s="18"/>
      <c r="J60" s="18"/>
      <c r="K60" s="22">
        <v>0.0</v>
      </c>
      <c r="L60" s="22">
        <v>13300.0</v>
      </c>
    </row>
    <row r="61" ht="22.5" customHeight="1">
      <c r="A61" s="16" t="s">
        <v>352</v>
      </c>
      <c r="B61" s="22">
        <v>120898.59999999999</v>
      </c>
      <c r="C61" s="22">
        <v>473882.30000000005</v>
      </c>
      <c r="D61" s="22">
        <v>128993.00000000001</v>
      </c>
      <c r="E61" s="22">
        <v>1772258.2000000002</v>
      </c>
      <c r="F61" s="22">
        <v>256197.1</v>
      </c>
      <c r="G61" s="22">
        <v>14592.6</v>
      </c>
      <c r="H61" s="22">
        <v>1198030.2999999998</v>
      </c>
      <c r="I61" s="22">
        <v>362238.8</v>
      </c>
      <c r="J61" s="22">
        <v>293881.2</v>
      </c>
      <c r="K61" s="22">
        <v>362617.89999999997</v>
      </c>
      <c r="L61" s="22">
        <v>524823.364199</v>
      </c>
    </row>
    <row r="62" ht="22.5" customHeight="1">
      <c r="A62" s="16" t="s">
        <v>355</v>
      </c>
      <c r="B62" s="18"/>
      <c r="C62" s="18"/>
      <c r="D62" s="18"/>
      <c r="E62" s="18"/>
      <c r="F62" s="22">
        <v>0.0</v>
      </c>
      <c r="G62" s="22">
        <v>0.0</v>
      </c>
      <c r="H62" s="22">
        <v>0.0</v>
      </c>
      <c r="I62" s="18"/>
      <c r="J62" s="22">
        <v>15.0</v>
      </c>
      <c r="K62" s="22">
        <v>2.0</v>
      </c>
      <c r="L62" s="22">
        <v>0.0</v>
      </c>
    </row>
    <row r="63" ht="22.5" customHeight="1">
      <c r="A63" s="16" t="s">
        <v>356</v>
      </c>
      <c r="B63" s="22">
        <v>0.0</v>
      </c>
      <c r="C63" s="22">
        <v>556.0</v>
      </c>
      <c r="D63" s="22">
        <v>0.0</v>
      </c>
      <c r="E63" s="22">
        <v>0.0</v>
      </c>
      <c r="F63" s="22">
        <v>179.6</v>
      </c>
      <c r="G63" s="22">
        <v>102.7</v>
      </c>
      <c r="H63" s="22">
        <v>22304.799999999996</v>
      </c>
      <c r="I63" s="22">
        <v>16926.5</v>
      </c>
      <c r="J63" s="22">
        <v>11167.6</v>
      </c>
      <c r="K63" s="22">
        <v>18267.5</v>
      </c>
      <c r="L63" s="22">
        <v>10712.305832000002</v>
      </c>
    </row>
    <row r="64" ht="22.5" customHeight="1">
      <c r="A64" s="16" t="s">
        <v>357</v>
      </c>
      <c r="B64" s="18"/>
      <c r="C64" s="18"/>
      <c r="D64" s="18"/>
      <c r="E64" s="18"/>
      <c r="F64" s="22">
        <v>0.0</v>
      </c>
      <c r="G64" s="22">
        <v>421.90000000000003</v>
      </c>
      <c r="H64" s="22">
        <v>3471.6</v>
      </c>
      <c r="I64" s="22">
        <v>4665.4</v>
      </c>
      <c r="J64" s="22">
        <v>4082.0999999999995</v>
      </c>
      <c r="K64" s="22">
        <v>3446.5</v>
      </c>
      <c r="L64" s="22">
        <v>6587.499242999999</v>
      </c>
    </row>
    <row r="65" ht="22.5" customHeight="1">
      <c r="A65" s="16" t="s">
        <v>360</v>
      </c>
      <c r="B65" s="18"/>
      <c r="C65" s="18"/>
      <c r="D65" s="22">
        <v>2214.0</v>
      </c>
      <c r="E65" s="22">
        <v>0.0</v>
      </c>
      <c r="F65" s="22">
        <v>0.0</v>
      </c>
      <c r="G65" s="22">
        <v>206.0</v>
      </c>
      <c r="H65" s="22">
        <v>638.5999999999999</v>
      </c>
      <c r="I65" s="22">
        <v>1123.0</v>
      </c>
      <c r="J65" s="22">
        <v>2007.2</v>
      </c>
      <c r="K65" s="22">
        <v>1914.2000000000003</v>
      </c>
      <c r="L65" s="22">
        <v>82.80873</v>
      </c>
    </row>
    <row r="66" ht="22.5" customHeight="1">
      <c r="A66" s="16" t="s">
        <v>363</v>
      </c>
      <c r="B66" s="18"/>
      <c r="C66" s="18"/>
      <c r="D66" s="18"/>
      <c r="E66" s="18"/>
      <c r="F66" s="22">
        <v>0.0</v>
      </c>
      <c r="G66" s="22">
        <v>50.0</v>
      </c>
      <c r="H66" s="22">
        <v>75.0</v>
      </c>
      <c r="I66" s="22">
        <v>303.8</v>
      </c>
      <c r="J66" s="22">
        <v>0.0</v>
      </c>
      <c r="K66" s="22">
        <v>1072.8</v>
      </c>
      <c r="L66" s="22">
        <v>11405.054925</v>
      </c>
    </row>
    <row r="67" ht="22.5" customHeight="1">
      <c r="A67" s="16" t="s">
        <v>364</v>
      </c>
      <c r="B67" s="22">
        <v>0.0</v>
      </c>
      <c r="C67" s="22">
        <v>0.0</v>
      </c>
      <c r="D67" s="22">
        <v>0.0</v>
      </c>
      <c r="E67" s="22">
        <v>10050.0</v>
      </c>
      <c r="F67" s="22">
        <v>4615.0</v>
      </c>
      <c r="G67" s="22">
        <v>35.0</v>
      </c>
      <c r="H67" s="22">
        <v>713.0</v>
      </c>
      <c r="I67" s="22">
        <v>0.0</v>
      </c>
      <c r="J67" s="22">
        <v>284.0</v>
      </c>
      <c r="K67" s="22">
        <v>6722.499999999999</v>
      </c>
      <c r="L67" s="22">
        <v>4595.3879210000005</v>
      </c>
    </row>
    <row r="68" ht="22.5" customHeight="1">
      <c r="A68" s="16" t="s">
        <v>365</v>
      </c>
      <c r="B68" s="18"/>
      <c r="C68" s="18"/>
      <c r="D68" s="18"/>
      <c r="E68" s="18"/>
      <c r="F68" s="18"/>
      <c r="G68" s="18"/>
      <c r="H68" s="18"/>
      <c r="I68" s="18"/>
      <c r="J68" s="18"/>
      <c r="K68" s="18"/>
      <c r="L68" s="22">
        <v>1228.51</v>
      </c>
    </row>
    <row r="69" ht="22.5" customHeight="1">
      <c r="A69" s="16" t="s">
        <v>366</v>
      </c>
      <c r="B69" s="18"/>
      <c r="C69" s="18"/>
      <c r="D69" s="18"/>
      <c r="E69" s="18"/>
      <c r="F69" s="22">
        <v>0.0</v>
      </c>
      <c r="G69" s="22">
        <v>0.0</v>
      </c>
      <c r="H69" s="22">
        <v>45.7</v>
      </c>
      <c r="I69" s="22">
        <v>16290.8</v>
      </c>
      <c r="J69" s="22">
        <v>25815.699999999997</v>
      </c>
      <c r="K69" s="22">
        <v>22843.2</v>
      </c>
      <c r="L69" s="22">
        <v>2403.012962</v>
      </c>
    </row>
    <row r="70" ht="22.5" customHeight="1">
      <c r="A70" s="16" t="s">
        <v>367</v>
      </c>
      <c r="B70" s="18"/>
      <c r="C70" s="18"/>
      <c r="D70" s="18"/>
      <c r="E70" s="18"/>
      <c r="F70" s="22">
        <v>1341.6</v>
      </c>
      <c r="G70" s="22">
        <v>1694.2000000000003</v>
      </c>
      <c r="H70" s="22">
        <v>10.0</v>
      </c>
      <c r="I70" s="22">
        <v>4472.299999999999</v>
      </c>
      <c r="J70" s="22">
        <v>10252.8</v>
      </c>
      <c r="K70" s="22">
        <v>74372.9</v>
      </c>
      <c r="L70" s="22">
        <v>15521.310361</v>
      </c>
    </row>
    <row r="71" ht="22.5" customHeight="1">
      <c r="A71" s="100" t="s">
        <v>369</v>
      </c>
      <c r="B71" s="101">
        <v>0.0</v>
      </c>
      <c r="C71" s="101">
        <v>8673.3</v>
      </c>
      <c r="D71" s="101">
        <v>12825.599999999999</v>
      </c>
      <c r="E71" s="101">
        <v>263.0</v>
      </c>
      <c r="F71" s="101">
        <v>2930.4</v>
      </c>
      <c r="G71" s="101">
        <v>85.3</v>
      </c>
      <c r="H71" s="101">
        <v>35.0</v>
      </c>
      <c r="I71" s="101">
        <v>4800.8</v>
      </c>
      <c r="J71" s="101">
        <v>34.2</v>
      </c>
      <c r="K71" s="101">
        <v>225.5</v>
      </c>
      <c r="L71" s="101">
        <v>13699.72345</v>
      </c>
      <c r="M71" s="48"/>
    </row>
    <row r="72" ht="22.5" customHeight="1">
      <c r="A72" s="16" t="s">
        <v>372</v>
      </c>
      <c r="B72" s="18"/>
      <c r="C72" s="18"/>
      <c r="D72" s="18"/>
      <c r="E72" s="18"/>
      <c r="F72" s="22">
        <v>0.0</v>
      </c>
      <c r="G72" s="22">
        <v>3.5</v>
      </c>
      <c r="H72" s="22">
        <v>128.4</v>
      </c>
      <c r="I72" s="22">
        <v>1501.3</v>
      </c>
      <c r="J72" s="22">
        <v>13998.599999999999</v>
      </c>
      <c r="K72" s="22">
        <v>20863.0</v>
      </c>
      <c r="L72" s="22">
        <v>37496.05026599999</v>
      </c>
    </row>
    <row r="73" ht="22.5" customHeight="1">
      <c r="A73" s="16" t="s">
        <v>374</v>
      </c>
      <c r="B73" s="18"/>
      <c r="C73" s="18"/>
      <c r="D73" s="18"/>
      <c r="E73" s="18"/>
      <c r="F73" s="18"/>
      <c r="G73" s="22">
        <v>55.0</v>
      </c>
      <c r="H73" s="22">
        <v>0.0</v>
      </c>
      <c r="I73" s="22">
        <v>50.0</v>
      </c>
      <c r="J73" s="22">
        <v>1813.6999999999998</v>
      </c>
      <c r="K73" s="22">
        <v>707.5</v>
      </c>
      <c r="L73" s="22">
        <v>1250.038413</v>
      </c>
    </row>
    <row r="74" ht="22.5" customHeight="1">
      <c r="A74" s="16" t="s">
        <v>376</v>
      </c>
      <c r="B74" s="18"/>
      <c r="C74" s="18"/>
      <c r="D74" s="18"/>
      <c r="E74" s="18"/>
      <c r="F74" s="22">
        <v>240.0</v>
      </c>
      <c r="G74" s="22">
        <v>0.0</v>
      </c>
      <c r="H74" s="22">
        <v>181.8</v>
      </c>
      <c r="I74" s="22">
        <v>17273.6</v>
      </c>
      <c r="J74" s="22">
        <v>9932.800000000001</v>
      </c>
      <c r="K74" s="22">
        <v>13671.3</v>
      </c>
      <c r="L74" s="22">
        <v>16062.252607</v>
      </c>
    </row>
    <row r="75" ht="22.5" customHeight="1">
      <c r="A75" s="16" t="s">
        <v>378</v>
      </c>
      <c r="B75" s="18"/>
      <c r="C75" s="18"/>
      <c r="D75" s="18"/>
      <c r="E75" s="18"/>
      <c r="F75" s="22">
        <v>0.0</v>
      </c>
      <c r="G75" s="22">
        <v>0.0</v>
      </c>
      <c r="H75" s="22">
        <v>0.0</v>
      </c>
      <c r="I75" s="18"/>
      <c r="J75" s="18"/>
      <c r="K75" s="22">
        <v>0.0</v>
      </c>
      <c r="L75" s="22">
        <v>0.0</v>
      </c>
    </row>
    <row r="76" ht="22.5" customHeight="1">
      <c r="A76" s="16" t="s">
        <v>381</v>
      </c>
      <c r="B76" s="22">
        <v>26.4</v>
      </c>
      <c r="C76" s="22">
        <v>2020.0</v>
      </c>
      <c r="D76" s="22">
        <v>3400.5000000000005</v>
      </c>
      <c r="E76" s="22">
        <v>1486.4</v>
      </c>
      <c r="F76" s="22">
        <v>842.0</v>
      </c>
      <c r="G76" s="22">
        <v>219.10000000000002</v>
      </c>
      <c r="H76" s="22">
        <v>28676.2</v>
      </c>
      <c r="I76" s="22">
        <v>409.5</v>
      </c>
      <c r="J76" s="22">
        <v>4270.0</v>
      </c>
      <c r="K76" s="22">
        <v>2262.7000000000003</v>
      </c>
      <c r="L76" s="22">
        <v>4872.223439</v>
      </c>
    </row>
    <row r="77" ht="22.5" customHeight="1">
      <c r="A77" s="16" t="s">
        <v>384</v>
      </c>
      <c r="B77" s="18"/>
      <c r="C77" s="18"/>
      <c r="D77" s="18"/>
      <c r="E77" s="22">
        <v>27658.9</v>
      </c>
      <c r="F77" s="22">
        <v>14287.8</v>
      </c>
      <c r="G77" s="22">
        <v>31283.899999999998</v>
      </c>
      <c r="H77" s="22">
        <v>119480.6</v>
      </c>
      <c r="I77" s="22">
        <v>91206.69999999998</v>
      </c>
      <c r="J77" s="22">
        <v>179094.09999999998</v>
      </c>
      <c r="K77" s="22">
        <v>151750.0</v>
      </c>
      <c r="L77" s="22">
        <v>130822.314845</v>
      </c>
    </row>
    <row r="78" ht="22.5" customHeight="1">
      <c r="A78" s="16" t="s">
        <v>385</v>
      </c>
      <c r="B78" s="18"/>
      <c r="C78" s="18"/>
      <c r="D78" s="18"/>
      <c r="E78" s="18"/>
      <c r="F78" s="22">
        <v>0.0</v>
      </c>
      <c r="G78" s="22">
        <v>0.0</v>
      </c>
      <c r="H78" s="18"/>
      <c r="I78" s="18"/>
      <c r="J78" s="18"/>
      <c r="K78" s="18"/>
      <c r="L78" s="18"/>
    </row>
    <row r="79" ht="22.5" customHeight="1">
      <c r="A79" s="100" t="s">
        <v>386</v>
      </c>
      <c r="B79" s="121"/>
      <c r="C79" s="121"/>
      <c r="D79" s="121"/>
      <c r="E79" s="121"/>
      <c r="F79" s="121"/>
      <c r="G79" s="101">
        <v>0.0</v>
      </c>
      <c r="H79" s="101">
        <v>1520.0</v>
      </c>
      <c r="I79" s="101">
        <v>762.9</v>
      </c>
      <c r="J79" s="101">
        <v>3411.9</v>
      </c>
      <c r="K79" s="101">
        <v>6.0</v>
      </c>
      <c r="L79" s="101">
        <v>80.0</v>
      </c>
      <c r="M79" s="48"/>
    </row>
    <row r="80" ht="22.5" customHeight="1">
      <c r="A80" s="100" t="s">
        <v>389</v>
      </c>
      <c r="B80" s="121"/>
      <c r="C80" s="121"/>
      <c r="D80" s="121"/>
      <c r="E80" s="121"/>
      <c r="F80" s="121"/>
      <c r="G80" s="121"/>
      <c r="H80" s="121"/>
      <c r="I80" s="121"/>
      <c r="J80" s="101">
        <v>19.6</v>
      </c>
      <c r="K80" s="101">
        <v>0.0</v>
      </c>
      <c r="L80" s="101">
        <v>0.0</v>
      </c>
      <c r="M80" s="48"/>
    </row>
    <row r="81" ht="22.5" customHeight="1">
      <c r="A81" s="100" t="s">
        <v>391</v>
      </c>
      <c r="B81" s="121"/>
      <c r="C81" s="101">
        <v>10615.9</v>
      </c>
      <c r="D81" s="101">
        <v>57783.2</v>
      </c>
      <c r="E81" s="101">
        <v>12029.7</v>
      </c>
      <c r="F81" s="101">
        <v>12229.800000000001</v>
      </c>
      <c r="G81" s="101">
        <v>376.5</v>
      </c>
      <c r="H81" s="101">
        <v>49127.2</v>
      </c>
      <c r="I81" s="101">
        <v>115919.7</v>
      </c>
      <c r="J81" s="101">
        <v>104164.59999999999</v>
      </c>
      <c r="K81" s="101">
        <v>7514.5</v>
      </c>
      <c r="L81" s="101">
        <v>64005.18418499999</v>
      </c>
      <c r="M81" s="48"/>
    </row>
    <row r="82" ht="22.5" customHeight="1">
      <c r="A82" s="16" t="s">
        <v>392</v>
      </c>
      <c r="B82" s="18"/>
      <c r="C82" s="18"/>
      <c r="D82" s="18"/>
      <c r="E82" s="18"/>
      <c r="F82" s="18"/>
      <c r="G82" s="18"/>
      <c r="H82" s="18"/>
      <c r="I82" s="18"/>
      <c r="J82" s="22">
        <v>0.0</v>
      </c>
      <c r="K82" s="22">
        <v>0.0</v>
      </c>
      <c r="L82" s="22">
        <v>0.0</v>
      </c>
    </row>
    <row r="83" ht="22.5" customHeight="1">
      <c r="A83" s="16" t="s">
        <v>393</v>
      </c>
      <c r="B83" s="18"/>
      <c r="C83" s="18"/>
      <c r="D83" s="18"/>
      <c r="E83" s="18"/>
      <c r="F83" s="22">
        <v>0.0</v>
      </c>
      <c r="G83" s="22">
        <v>0.0</v>
      </c>
      <c r="H83" s="22">
        <v>0.0</v>
      </c>
      <c r="I83" s="22">
        <v>53.6</v>
      </c>
      <c r="J83" s="22">
        <v>0.0</v>
      </c>
      <c r="K83" s="22">
        <v>5.2</v>
      </c>
      <c r="L83" s="22">
        <v>54.254793</v>
      </c>
    </row>
    <row r="84" ht="22.5" customHeight="1">
      <c r="A84" s="100" t="s">
        <v>394</v>
      </c>
      <c r="B84" s="101">
        <v>0.0</v>
      </c>
      <c r="C84" s="101">
        <v>6950.0</v>
      </c>
      <c r="D84" s="101">
        <v>0.0</v>
      </c>
      <c r="E84" s="101">
        <v>0.0</v>
      </c>
      <c r="F84" s="101">
        <v>0.0</v>
      </c>
      <c r="G84" s="101">
        <v>0.0</v>
      </c>
      <c r="H84" s="101">
        <v>71.9</v>
      </c>
      <c r="I84" s="121"/>
      <c r="J84" s="101">
        <v>312.29999999999995</v>
      </c>
      <c r="K84" s="101">
        <v>2221.8</v>
      </c>
      <c r="L84" s="101">
        <v>5067.241848000001</v>
      </c>
      <c r="M84" s="48"/>
    </row>
    <row r="85" ht="22.5" customHeight="1">
      <c r="A85" s="16" t="s">
        <v>395</v>
      </c>
      <c r="B85" s="18"/>
      <c r="C85" s="18"/>
      <c r="D85" s="18"/>
      <c r="E85" s="18"/>
      <c r="F85" s="18"/>
      <c r="G85" s="18"/>
      <c r="H85" s="18"/>
      <c r="I85" s="18"/>
      <c r="J85" s="22">
        <v>0.0</v>
      </c>
      <c r="K85" s="18"/>
      <c r="L85" s="18"/>
    </row>
    <row r="86" ht="22.5" customHeight="1">
      <c r="A86" s="16" t="s">
        <v>398</v>
      </c>
      <c r="B86" s="18"/>
      <c r="C86" s="18"/>
      <c r="D86" s="18"/>
      <c r="E86" s="18"/>
      <c r="F86" s="18"/>
      <c r="G86" s="18"/>
      <c r="H86" s="18"/>
      <c r="I86" s="18"/>
      <c r="J86" s="18"/>
      <c r="K86" s="22">
        <v>0.0</v>
      </c>
      <c r="L86" s="22">
        <v>0.0</v>
      </c>
    </row>
    <row r="87" ht="22.5" customHeight="1">
      <c r="A87" s="16"/>
      <c r="B87" s="22">
        <v>1476188.4999999998</v>
      </c>
      <c r="C87" s="22">
        <v>1217962.0000000005</v>
      </c>
      <c r="D87" s="22">
        <v>782026.9</v>
      </c>
      <c r="E87" s="22">
        <v>7221692.600000001</v>
      </c>
      <c r="F87" s="22">
        <v>6518281.9</v>
      </c>
      <c r="G87" s="22">
        <v>2823384.2999999993</v>
      </c>
      <c r="H87" s="22">
        <v>3079752.5000000005</v>
      </c>
      <c r="I87" s="22">
        <v>3909363.0</v>
      </c>
      <c r="J87" s="22">
        <v>5696408.600000001</v>
      </c>
      <c r="K87" s="22">
        <v>4161890.1999999983</v>
      </c>
      <c r="L87" s="22">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3</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10" t="s">
        <v>5</v>
      </c>
      <c r="B4" s="10">
        <v>10793.84</v>
      </c>
      <c r="C4" s="10">
        <v>11456.17</v>
      </c>
      <c r="D4" s="10">
        <v>11932.98</v>
      </c>
      <c r="E4" s="10">
        <v>12700.21</v>
      </c>
      <c r="F4" s="10">
        <v>13237.38</v>
      </c>
      <c r="G4" s="10">
        <v>14056.68</v>
      </c>
      <c r="H4" s="10">
        <v>14601.86</v>
      </c>
      <c r="I4" s="10">
        <v>16525.78</v>
      </c>
      <c r="J4" s="10">
        <v>18488.33</v>
      </c>
      <c r="K4" s="10">
        <v>19200.89</v>
      </c>
      <c r="L4" s="10">
        <v>21082.58</v>
      </c>
      <c r="M4" s="10">
        <v>7667.6</v>
      </c>
      <c r="N4" s="10">
        <v>7779.8</v>
      </c>
      <c r="O4" s="10">
        <v>7930.31</v>
      </c>
      <c r="P4" s="10">
        <v>8101.23</v>
      </c>
      <c r="Q4" s="10">
        <v>8184.19</v>
      </c>
      <c r="R4" s="10">
        <v>8534.64</v>
      </c>
      <c r="S4" s="10">
        <v>8638.19</v>
      </c>
      <c r="T4" s="10">
        <v>9077.78</v>
      </c>
      <c r="U4" s="10">
        <v>9169.84</v>
      </c>
      <c r="V4" s="10">
        <v>9177.04</v>
      </c>
      <c r="W4" s="10">
        <v>9791.83</v>
      </c>
    </row>
    <row r="5">
      <c r="A5" s="10" t="s">
        <v>10</v>
      </c>
      <c r="B5" s="10">
        <v>9442.59</v>
      </c>
      <c r="C5" s="10">
        <v>10036.12</v>
      </c>
      <c r="D5" s="10">
        <v>10423.67</v>
      </c>
      <c r="E5" s="10">
        <v>11149.34</v>
      </c>
      <c r="F5" s="10">
        <v>11639.23</v>
      </c>
      <c r="G5" s="10">
        <v>12556.03</v>
      </c>
      <c r="H5" s="10">
        <v>12981.69</v>
      </c>
      <c r="I5" s="10">
        <v>14948.09</v>
      </c>
      <c r="J5" s="10">
        <v>16887.62</v>
      </c>
      <c r="K5" s="10">
        <v>17582.29</v>
      </c>
      <c r="L5" s="10">
        <v>19393.54</v>
      </c>
      <c r="M5" s="10">
        <v>6666.7</v>
      </c>
      <c r="N5" s="10">
        <v>6766.49</v>
      </c>
      <c r="O5" s="10">
        <v>6883.68</v>
      </c>
      <c r="P5" s="10">
        <v>7069.78</v>
      </c>
      <c r="Q5" s="10">
        <v>7170.24</v>
      </c>
      <c r="R5" s="10">
        <v>7621.61</v>
      </c>
      <c r="S5" s="10">
        <v>7707.93</v>
      </c>
      <c r="T5" s="10">
        <v>8223.21</v>
      </c>
      <c r="U5" s="10">
        <v>8347.25</v>
      </c>
      <c r="V5" s="10">
        <v>8375.4</v>
      </c>
      <c r="W5" s="10">
        <v>8973.43</v>
      </c>
    </row>
    <row r="6">
      <c r="A6" s="10" t="s">
        <v>13</v>
      </c>
      <c r="B6" s="10">
        <v>3808.41</v>
      </c>
      <c r="C6" s="10">
        <v>4134.84</v>
      </c>
      <c r="D6" s="10">
        <v>4232.04</v>
      </c>
      <c r="E6" s="10">
        <v>4564.74</v>
      </c>
      <c r="F6" s="10">
        <v>4653.22</v>
      </c>
      <c r="G6" s="10">
        <v>5182.29</v>
      </c>
      <c r="H6" s="10">
        <v>5068.94</v>
      </c>
      <c r="I6" s="10">
        <v>5892.29</v>
      </c>
      <c r="J6" s="10">
        <v>7058.31</v>
      </c>
      <c r="K6" s="10">
        <v>7020.71</v>
      </c>
      <c r="L6" s="10">
        <v>8326.94</v>
      </c>
      <c r="M6" s="10">
        <v>2838.36</v>
      </c>
      <c r="N6" s="10">
        <v>2916.63</v>
      </c>
      <c r="O6" s="10">
        <v>2895.31</v>
      </c>
      <c r="P6" s="10">
        <v>2950.95</v>
      </c>
      <c r="Q6" s="10">
        <v>2940.43</v>
      </c>
      <c r="R6" s="10">
        <v>3235.4</v>
      </c>
      <c r="S6" s="10">
        <v>3130.92</v>
      </c>
      <c r="T6" s="10">
        <v>3302.44</v>
      </c>
      <c r="U6" s="10">
        <v>3263.96</v>
      </c>
      <c r="V6" s="10">
        <v>3090.85</v>
      </c>
      <c r="W6" s="10">
        <v>3590.96</v>
      </c>
    </row>
    <row r="7">
      <c r="A7" s="10" t="s">
        <v>18</v>
      </c>
      <c r="B7" s="10">
        <v>3023.44</v>
      </c>
      <c r="C7" s="10">
        <v>3114.05</v>
      </c>
      <c r="D7" s="10">
        <v>3268.74</v>
      </c>
      <c r="E7" s="10">
        <v>3431.11</v>
      </c>
      <c r="F7" s="10">
        <v>3685.41</v>
      </c>
      <c r="G7" s="10">
        <v>3958.91</v>
      </c>
      <c r="H7" s="10">
        <v>4220.43</v>
      </c>
      <c r="I7" s="10">
        <v>4953.87</v>
      </c>
      <c r="J7" s="10">
        <v>5324.03</v>
      </c>
      <c r="K7" s="10">
        <v>5711.69</v>
      </c>
      <c r="L7" s="10">
        <v>5895.21</v>
      </c>
      <c r="M7" s="10">
        <v>1929.98</v>
      </c>
      <c r="N7" s="10">
        <v>1913.55</v>
      </c>
      <c r="O7" s="10">
        <v>1974.73</v>
      </c>
      <c r="P7" s="10">
        <v>2021.18</v>
      </c>
      <c r="Q7" s="10">
        <v>2084.24</v>
      </c>
      <c r="R7" s="10">
        <v>2209.32</v>
      </c>
      <c r="S7" s="10">
        <v>2296.18</v>
      </c>
      <c r="T7" s="10">
        <v>2531.73</v>
      </c>
      <c r="U7" s="10">
        <v>2593.41</v>
      </c>
      <c r="V7" s="10">
        <v>2696.23</v>
      </c>
      <c r="W7" s="10">
        <v>2686.9</v>
      </c>
    </row>
    <row r="8">
      <c r="A8" s="10" t="s">
        <v>23</v>
      </c>
      <c r="B8" s="10">
        <v>278.97</v>
      </c>
      <c r="C8" s="10">
        <v>309.81</v>
      </c>
      <c r="D8" s="10">
        <v>332.6</v>
      </c>
      <c r="E8" s="10">
        <v>349.48</v>
      </c>
      <c r="F8" s="10">
        <v>369.21</v>
      </c>
      <c r="G8" s="10">
        <v>402.88</v>
      </c>
      <c r="H8" s="10">
        <v>343.37</v>
      </c>
      <c r="I8" s="10">
        <v>391.77</v>
      </c>
      <c r="J8" s="10">
        <v>468.06</v>
      </c>
      <c r="K8" s="10">
        <v>537.96</v>
      </c>
      <c r="L8" s="10">
        <v>596.25</v>
      </c>
      <c r="M8" s="10">
        <v>201.22</v>
      </c>
      <c r="N8" s="10">
        <v>201.49</v>
      </c>
      <c r="O8" s="10">
        <v>210.22</v>
      </c>
      <c r="P8" s="10">
        <v>218.35</v>
      </c>
      <c r="Q8" s="10">
        <v>232.06</v>
      </c>
      <c r="R8" s="10">
        <v>251.74</v>
      </c>
      <c r="S8" s="10">
        <v>218.55</v>
      </c>
      <c r="T8" s="10">
        <v>228.95</v>
      </c>
      <c r="U8" s="10">
        <v>234.16</v>
      </c>
      <c r="V8" s="10">
        <v>250.97</v>
      </c>
      <c r="W8" s="10">
        <v>260.65</v>
      </c>
    </row>
    <row r="9">
      <c r="A9" s="10" t="s">
        <v>28</v>
      </c>
      <c r="B9" s="10">
        <v>2136.76</v>
      </c>
      <c r="C9" s="10">
        <v>2265.24</v>
      </c>
      <c r="D9" s="10">
        <v>2359.15</v>
      </c>
      <c r="E9" s="10">
        <v>2561.09</v>
      </c>
      <c r="F9" s="10">
        <v>2682.25</v>
      </c>
      <c r="G9" s="10">
        <v>2771.71</v>
      </c>
      <c r="H9" s="10">
        <v>3088.92</v>
      </c>
      <c r="I9" s="10">
        <v>3424.81</v>
      </c>
      <c r="J9" s="10">
        <v>3727.39</v>
      </c>
      <c r="K9" s="10">
        <v>3982.62</v>
      </c>
      <c r="L9" s="10">
        <v>4225.54</v>
      </c>
      <c r="M9" s="10">
        <v>1548.21</v>
      </c>
      <c r="N9" s="10">
        <v>1581.6</v>
      </c>
      <c r="O9" s="10">
        <v>1643.59</v>
      </c>
      <c r="P9" s="10">
        <v>1715.41</v>
      </c>
      <c r="Q9" s="10">
        <v>1749.02</v>
      </c>
      <c r="R9" s="10">
        <v>1770.22</v>
      </c>
      <c r="S9" s="10">
        <v>1900.97</v>
      </c>
      <c r="T9" s="10">
        <v>1994.02</v>
      </c>
      <c r="U9" s="10">
        <v>2086.75</v>
      </c>
      <c r="V9" s="10">
        <v>2169.42</v>
      </c>
      <c r="W9" s="10">
        <v>2262.93</v>
      </c>
    </row>
    <row r="10">
      <c r="A10" s="10" t="s">
        <v>34</v>
      </c>
      <c r="B10" s="10">
        <v>195.0</v>
      </c>
      <c r="C10" s="10">
        <v>212.18</v>
      </c>
      <c r="D10" s="10">
        <v>231.14</v>
      </c>
      <c r="E10" s="10">
        <v>242.91</v>
      </c>
      <c r="F10" s="10">
        <v>249.14</v>
      </c>
      <c r="G10" s="10">
        <v>240.23</v>
      </c>
      <c r="H10" s="10">
        <v>260.03</v>
      </c>
      <c r="I10" s="10">
        <v>285.35</v>
      </c>
      <c r="J10" s="10">
        <v>309.82</v>
      </c>
      <c r="K10" s="10">
        <v>329.32</v>
      </c>
      <c r="L10" s="10">
        <v>349.59</v>
      </c>
      <c r="M10" s="10">
        <v>148.93</v>
      </c>
      <c r="N10" s="10">
        <v>153.22</v>
      </c>
      <c r="O10" s="10">
        <v>159.83</v>
      </c>
      <c r="P10" s="10">
        <v>163.88</v>
      </c>
      <c r="Q10" s="10">
        <v>163.99</v>
      </c>
      <c r="R10" s="10">
        <v>154.92</v>
      </c>
      <c r="S10" s="10">
        <v>161.31</v>
      </c>
      <c r="T10" s="10">
        <v>166.06</v>
      </c>
      <c r="U10" s="10">
        <v>168.98</v>
      </c>
      <c r="V10" s="10">
        <v>167.92</v>
      </c>
      <c r="W10" s="10">
        <v>171.99</v>
      </c>
    </row>
    <row r="11">
      <c r="A11" s="10" t="s">
        <v>37</v>
      </c>
      <c r="B11" s="10">
        <v>902.9</v>
      </c>
      <c r="C11" s="10">
        <v>955.19</v>
      </c>
      <c r="D11" s="10">
        <v>1004.94</v>
      </c>
      <c r="E11" s="10">
        <v>1020.26</v>
      </c>
      <c r="F11" s="10">
        <v>1086.97</v>
      </c>
      <c r="G11" s="10">
        <v>952.69</v>
      </c>
      <c r="H11" s="10">
        <v>1008.62</v>
      </c>
      <c r="I11" s="10">
        <v>899.6</v>
      </c>
      <c r="J11" s="10">
        <v>919.71</v>
      </c>
      <c r="K11" s="10">
        <v>921.13</v>
      </c>
      <c r="L11" s="10">
        <v>931.74</v>
      </c>
      <c r="M11" s="10">
        <v>700.24</v>
      </c>
      <c r="N11" s="10">
        <v>708.45</v>
      </c>
      <c r="O11" s="10">
        <v>728.83</v>
      </c>
      <c r="P11" s="10">
        <v>711.11</v>
      </c>
      <c r="Q11" s="10">
        <v>712.44</v>
      </c>
      <c r="R11" s="10">
        <v>594.6</v>
      </c>
      <c r="S11" s="10">
        <v>584.39</v>
      </c>
      <c r="T11" s="10">
        <v>487.41</v>
      </c>
      <c r="U11" s="10">
        <v>473.38</v>
      </c>
      <c r="V11" s="10">
        <v>449.97</v>
      </c>
      <c r="W11" s="10">
        <v>450.74</v>
      </c>
    </row>
    <row r="12">
      <c r="A12" s="10" t="s">
        <v>40</v>
      </c>
      <c r="B12" s="10">
        <v>448.35</v>
      </c>
      <c r="C12" s="10">
        <v>464.87</v>
      </c>
      <c r="D12" s="10">
        <v>504.37</v>
      </c>
      <c r="E12" s="10">
        <v>530.61</v>
      </c>
      <c r="F12" s="10">
        <v>511.19</v>
      </c>
      <c r="G12" s="10">
        <v>547.96</v>
      </c>
      <c r="H12" s="10">
        <v>611.55</v>
      </c>
      <c r="I12" s="10">
        <v>678.09</v>
      </c>
      <c r="J12" s="10">
        <v>681.01</v>
      </c>
      <c r="K12" s="10">
        <v>697.47</v>
      </c>
      <c r="L12" s="10">
        <v>757.3</v>
      </c>
      <c r="M12" s="10">
        <v>300.66</v>
      </c>
      <c r="N12" s="10">
        <v>304.86</v>
      </c>
      <c r="O12" s="10">
        <v>317.81</v>
      </c>
      <c r="P12" s="10">
        <v>320.35</v>
      </c>
      <c r="Q12" s="10">
        <v>301.5</v>
      </c>
      <c r="R12" s="10">
        <v>318.43</v>
      </c>
      <c r="S12" s="10">
        <v>345.87</v>
      </c>
      <c r="T12" s="10">
        <v>367.17</v>
      </c>
      <c r="U12" s="10">
        <v>349.2</v>
      </c>
      <c r="V12" s="10">
        <v>351.67</v>
      </c>
      <c r="W12" s="10">
        <v>367.66</v>
      </c>
    </row>
    <row r="13">
      <c r="A13" s="10" t="s">
        <v>46</v>
      </c>
      <c r="B13" s="10">
        <v>573.13</v>
      </c>
      <c r="C13" s="10">
        <v>593.16</v>
      </c>
      <c r="D13" s="10">
        <v>615.94</v>
      </c>
      <c r="E13" s="10">
        <v>680.66</v>
      </c>
      <c r="F13" s="10">
        <v>713.92</v>
      </c>
      <c r="G13" s="10">
        <v>657.0</v>
      </c>
      <c r="H13" s="10">
        <v>664.74</v>
      </c>
      <c r="I13" s="10">
        <v>713.77</v>
      </c>
      <c r="J13" s="10">
        <v>799.92</v>
      </c>
      <c r="K13" s="10">
        <v>869.77</v>
      </c>
      <c r="L13" s="10">
        <v>791.27</v>
      </c>
      <c r="M13" s="10">
        <v>471.32</v>
      </c>
      <c r="N13" s="10">
        <v>473.3</v>
      </c>
      <c r="O13" s="10">
        <v>489.35</v>
      </c>
      <c r="P13" s="10">
        <v>541.18</v>
      </c>
      <c r="Q13" s="10">
        <v>557.65</v>
      </c>
      <c r="R13" s="10">
        <v>508.38</v>
      </c>
      <c r="S13" s="10">
        <v>492.58</v>
      </c>
      <c r="T13" s="10">
        <v>501.03</v>
      </c>
      <c r="U13" s="10">
        <v>517.33</v>
      </c>
      <c r="V13" s="10">
        <v>556.4</v>
      </c>
      <c r="W13" s="10">
        <v>591.97</v>
      </c>
    </row>
    <row r="14">
      <c r="A14" s="10" t="s">
        <v>49</v>
      </c>
      <c r="B14" s="10" t="s">
        <v>50</v>
      </c>
      <c r="C14" s="10" t="s">
        <v>50</v>
      </c>
      <c r="D14" s="10" t="s">
        <v>50</v>
      </c>
      <c r="E14" s="10" t="s">
        <v>50</v>
      </c>
      <c r="F14" s="10" t="s">
        <v>50</v>
      </c>
      <c r="G14" s="10" t="s">
        <v>50</v>
      </c>
      <c r="H14" s="10" t="s">
        <v>50</v>
      </c>
      <c r="I14" s="10" t="s">
        <v>50</v>
      </c>
      <c r="J14" s="10" t="s">
        <v>50</v>
      </c>
      <c r="K14" s="10" t="s">
        <v>50</v>
      </c>
      <c r="L14" s="10" t="s">
        <v>50</v>
      </c>
      <c r="M14" s="10" t="s">
        <v>50</v>
      </c>
      <c r="N14" s="10" t="s">
        <v>50</v>
      </c>
      <c r="O14" s="10" t="s">
        <v>50</v>
      </c>
      <c r="P14" s="10" t="s">
        <v>50</v>
      </c>
      <c r="Q14" s="10" t="s">
        <v>50</v>
      </c>
      <c r="R14" s="10" t="s">
        <v>50</v>
      </c>
      <c r="S14" s="10" t="s">
        <v>50</v>
      </c>
      <c r="T14" s="10" t="s">
        <v>50</v>
      </c>
      <c r="U14" s="10" t="s">
        <v>50</v>
      </c>
      <c r="V14" s="10" t="s">
        <v>50</v>
      </c>
      <c r="W14" s="10" t="s">
        <v>50</v>
      </c>
    </row>
    <row r="15">
      <c r="A15" s="10" t="s">
        <v>51</v>
      </c>
      <c r="B15" s="10" t="s">
        <v>50</v>
      </c>
      <c r="C15" s="10" t="s">
        <v>50</v>
      </c>
      <c r="D15" s="10" t="s">
        <v>50</v>
      </c>
      <c r="E15" s="10" t="s">
        <v>50</v>
      </c>
      <c r="F15" s="10" t="s">
        <v>50</v>
      </c>
      <c r="G15" s="10" t="s">
        <v>50</v>
      </c>
      <c r="H15" s="10" t="s">
        <v>50</v>
      </c>
      <c r="I15" s="10" t="s">
        <v>50</v>
      </c>
      <c r="J15" s="10" t="s">
        <v>50</v>
      </c>
      <c r="K15" s="10" t="s">
        <v>50</v>
      </c>
      <c r="L15" s="10" t="s">
        <v>50</v>
      </c>
      <c r="M15" s="10" t="s">
        <v>50</v>
      </c>
      <c r="N15" s="10" t="s">
        <v>50</v>
      </c>
      <c r="O15" s="10" t="s">
        <v>50</v>
      </c>
      <c r="P15" s="10" t="s">
        <v>50</v>
      </c>
      <c r="Q15" s="10" t="s">
        <v>50</v>
      </c>
      <c r="R15" s="10" t="s">
        <v>50</v>
      </c>
      <c r="S15" s="10" t="s">
        <v>50</v>
      </c>
      <c r="T15" s="10" t="s">
        <v>50</v>
      </c>
      <c r="U15" s="10" t="s">
        <v>50</v>
      </c>
      <c r="V15" s="10" t="s">
        <v>50</v>
      </c>
      <c r="W15" s="10" t="s">
        <v>50</v>
      </c>
    </row>
    <row r="16">
      <c r="A16" s="10" t="s">
        <v>53</v>
      </c>
      <c r="B16" s="10" t="s">
        <v>50</v>
      </c>
      <c r="C16" s="10" t="s">
        <v>50</v>
      </c>
      <c r="D16" s="10" t="s">
        <v>50</v>
      </c>
      <c r="E16" s="10" t="s">
        <v>50</v>
      </c>
      <c r="F16" s="10" t="s">
        <v>50</v>
      </c>
      <c r="G16" s="10" t="s">
        <v>50</v>
      </c>
      <c r="H16" s="10" t="s">
        <v>50</v>
      </c>
      <c r="I16" s="10" t="s">
        <v>50</v>
      </c>
      <c r="J16" s="10" t="s">
        <v>50</v>
      </c>
      <c r="K16" s="10" t="s">
        <v>50</v>
      </c>
      <c r="L16" s="10" t="s">
        <v>50</v>
      </c>
      <c r="M16" s="10" t="s">
        <v>50</v>
      </c>
      <c r="N16" s="10" t="s">
        <v>50</v>
      </c>
      <c r="O16" s="10" t="s">
        <v>50</v>
      </c>
      <c r="P16" s="10" t="s">
        <v>50</v>
      </c>
      <c r="Q16" s="10" t="s">
        <v>50</v>
      </c>
      <c r="R16" s="10" t="s">
        <v>50</v>
      </c>
      <c r="S16" s="10" t="s">
        <v>50</v>
      </c>
      <c r="T16" s="10" t="s">
        <v>50</v>
      </c>
      <c r="U16" s="10" t="s">
        <v>50</v>
      </c>
      <c r="V16" s="10" t="s">
        <v>50</v>
      </c>
      <c r="W16" s="10" t="s">
        <v>50</v>
      </c>
    </row>
    <row r="17">
      <c r="A17" s="10" t="s">
        <v>57</v>
      </c>
      <c r="B17" s="10">
        <v>573.13</v>
      </c>
      <c r="C17" s="10">
        <v>593.16</v>
      </c>
      <c r="D17" s="10">
        <v>615.94</v>
      </c>
      <c r="E17" s="10">
        <v>680.66</v>
      </c>
      <c r="F17" s="10">
        <v>713.92</v>
      </c>
      <c r="G17" s="10">
        <v>657.0</v>
      </c>
      <c r="H17" s="10">
        <v>664.74</v>
      </c>
      <c r="I17" s="10">
        <v>713.77</v>
      </c>
      <c r="J17" s="10">
        <v>799.92</v>
      </c>
      <c r="K17" s="10">
        <v>869.77</v>
      </c>
      <c r="L17" s="10">
        <v>791.27</v>
      </c>
      <c r="M17" s="10">
        <v>471.32</v>
      </c>
      <c r="N17" s="10">
        <v>473.3</v>
      </c>
      <c r="O17" s="10">
        <v>489.35</v>
      </c>
      <c r="P17" s="10">
        <v>541.18</v>
      </c>
      <c r="Q17" s="10">
        <v>557.65</v>
      </c>
      <c r="R17" s="10">
        <v>508.38</v>
      </c>
      <c r="S17" s="10">
        <v>492.58</v>
      </c>
      <c r="T17" s="10">
        <v>501.03</v>
      </c>
      <c r="U17" s="10">
        <v>517.33</v>
      </c>
      <c r="V17" s="10">
        <v>556.4</v>
      </c>
      <c r="W17" s="10">
        <v>591.97</v>
      </c>
    </row>
    <row r="18">
      <c r="A18" s="10" t="s">
        <v>60</v>
      </c>
      <c r="B18" s="10">
        <v>13303.47</v>
      </c>
      <c r="C18" s="10">
        <v>14547.35</v>
      </c>
      <c r="D18" s="10">
        <v>15635.87</v>
      </c>
      <c r="E18" s="10">
        <v>16870.0</v>
      </c>
      <c r="F18" s="10">
        <v>18085.08</v>
      </c>
      <c r="G18" s="10">
        <v>17643.51</v>
      </c>
      <c r="H18" s="10">
        <v>18448.61</v>
      </c>
      <c r="I18" s="10">
        <v>19775.46</v>
      </c>
      <c r="J18" s="10">
        <v>21353.1</v>
      </c>
      <c r="K18" s="10">
        <v>22894.26</v>
      </c>
      <c r="L18" s="10">
        <v>24552.34</v>
      </c>
      <c r="M18" s="10">
        <v>10693.04</v>
      </c>
      <c r="N18" s="10">
        <v>11234.47</v>
      </c>
      <c r="O18" s="10">
        <v>11878.96</v>
      </c>
      <c r="P18" s="10">
        <v>12486.86</v>
      </c>
      <c r="Q18" s="10">
        <v>13200.73</v>
      </c>
      <c r="R18" s="10">
        <v>12632.11</v>
      </c>
      <c r="S18" s="10">
        <v>12670.46</v>
      </c>
      <c r="T18" s="10">
        <v>12890.39</v>
      </c>
      <c r="U18" s="10">
        <v>13442.25</v>
      </c>
      <c r="V18" s="10">
        <v>13929.58</v>
      </c>
      <c r="W18" s="10">
        <v>14559.81</v>
      </c>
    </row>
    <row r="19">
      <c r="A19" s="10" t="s">
        <v>61</v>
      </c>
      <c r="B19" s="10" t="s">
        <v>50</v>
      </c>
      <c r="C19" s="10" t="s">
        <v>50</v>
      </c>
      <c r="D19" s="10" t="s">
        <v>50</v>
      </c>
      <c r="E19" s="10" t="s">
        <v>50</v>
      </c>
      <c r="F19" s="10" t="s">
        <v>50</v>
      </c>
      <c r="G19" s="10" t="s">
        <v>50</v>
      </c>
      <c r="H19" s="10" t="s">
        <v>50</v>
      </c>
      <c r="I19" s="10" t="s">
        <v>50</v>
      </c>
      <c r="J19" s="10" t="s">
        <v>50</v>
      </c>
      <c r="K19" s="10" t="s">
        <v>50</v>
      </c>
      <c r="L19" s="10" t="s">
        <v>50</v>
      </c>
      <c r="M19" s="10" t="s">
        <v>50</v>
      </c>
      <c r="N19" s="10" t="s">
        <v>50</v>
      </c>
      <c r="O19" s="10" t="s">
        <v>50</v>
      </c>
      <c r="P19" s="10" t="s">
        <v>50</v>
      </c>
      <c r="Q19" s="10" t="s">
        <v>50</v>
      </c>
      <c r="R19" s="10" t="s">
        <v>50</v>
      </c>
      <c r="S19" s="10" t="s">
        <v>50</v>
      </c>
      <c r="T19" s="10" t="s">
        <v>50</v>
      </c>
      <c r="U19" s="10" t="s">
        <v>50</v>
      </c>
      <c r="V19" s="10" t="s">
        <v>50</v>
      </c>
      <c r="W19" s="10" t="s">
        <v>50</v>
      </c>
    </row>
    <row r="20">
      <c r="A20" s="10" t="s">
        <v>62</v>
      </c>
      <c r="B20" s="10">
        <v>7103.6</v>
      </c>
      <c r="C20" s="10">
        <v>7941.76</v>
      </c>
      <c r="D20" s="10">
        <v>8558.24</v>
      </c>
      <c r="E20" s="10">
        <v>9390.16</v>
      </c>
      <c r="F20" s="10">
        <v>10226.78</v>
      </c>
      <c r="G20" s="10">
        <v>9931.58</v>
      </c>
      <c r="H20" s="10">
        <v>10048.92</v>
      </c>
      <c r="I20" s="10">
        <v>10780.45</v>
      </c>
      <c r="J20" s="10">
        <v>11683.26</v>
      </c>
      <c r="K20" s="10">
        <v>12719.38</v>
      </c>
      <c r="L20" s="10">
        <v>14028.33</v>
      </c>
      <c r="M20" s="10">
        <v>5724.93</v>
      </c>
      <c r="N20" s="10">
        <v>6111.91</v>
      </c>
      <c r="O20" s="10">
        <v>6505.52</v>
      </c>
      <c r="P20" s="10">
        <v>6954.98</v>
      </c>
      <c r="Q20" s="10">
        <v>7508.5</v>
      </c>
      <c r="R20" s="10">
        <v>7163.56</v>
      </c>
      <c r="S20" s="10">
        <v>6966.04</v>
      </c>
      <c r="T20" s="10">
        <v>7052.86</v>
      </c>
      <c r="U20" s="10">
        <v>7392.38</v>
      </c>
      <c r="V20" s="10">
        <v>7740.44</v>
      </c>
      <c r="W20" s="10">
        <v>8270.19</v>
      </c>
    </row>
    <row r="21">
      <c r="A21" s="10" t="s">
        <v>64</v>
      </c>
      <c r="B21" s="10">
        <v>742.3</v>
      </c>
      <c r="C21" s="10">
        <v>794.42</v>
      </c>
      <c r="D21" s="10">
        <v>910.08</v>
      </c>
      <c r="E21" s="10">
        <v>981.95</v>
      </c>
      <c r="F21" s="10">
        <v>1030.85</v>
      </c>
      <c r="G21" s="10">
        <v>1140.35</v>
      </c>
      <c r="H21" s="10">
        <v>1338.17</v>
      </c>
      <c r="I21" s="10">
        <v>1427.53</v>
      </c>
      <c r="J21" s="10">
        <v>1523.37</v>
      </c>
      <c r="K21" s="10">
        <v>1599.87</v>
      </c>
      <c r="L21" s="10">
        <v>1631.9</v>
      </c>
      <c r="M21" s="10">
        <v>453.23</v>
      </c>
      <c r="N21" s="10">
        <v>460.06</v>
      </c>
      <c r="O21" s="10">
        <v>489.34</v>
      </c>
      <c r="P21" s="10">
        <v>514.94</v>
      </c>
      <c r="Q21" s="10">
        <v>523.8</v>
      </c>
      <c r="R21" s="10">
        <v>567.98</v>
      </c>
      <c r="S21" s="10">
        <v>631.43</v>
      </c>
      <c r="T21" s="10">
        <v>645.79</v>
      </c>
      <c r="U21" s="10">
        <v>686.35</v>
      </c>
      <c r="V21" s="10">
        <v>685.62</v>
      </c>
      <c r="W21" s="10">
        <v>671.72</v>
      </c>
    </row>
    <row r="22">
      <c r="A22" s="10" t="s">
        <v>65</v>
      </c>
      <c r="B22" s="10">
        <v>1458.64</v>
      </c>
      <c r="C22" s="10">
        <v>1602.09</v>
      </c>
      <c r="D22" s="10">
        <v>1736.48</v>
      </c>
      <c r="E22" s="10">
        <v>1892.26</v>
      </c>
      <c r="F22" s="10">
        <v>2059.93</v>
      </c>
      <c r="G22" s="10">
        <v>2030.79</v>
      </c>
      <c r="H22" s="10">
        <v>2310.72</v>
      </c>
      <c r="I22" s="10">
        <v>2448.69</v>
      </c>
      <c r="J22" s="10">
        <v>2636.03</v>
      </c>
      <c r="K22" s="10">
        <v>2808.2</v>
      </c>
      <c r="L22" s="10">
        <v>2948.34</v>
      </c>
      <c r="M22" s="10">
        <v>1122.11</v>
      </c>
      <c r="N22" s="10">
        <v>1193.57</v>
      </c>
      <c r="O22" s="10">
        <v>1274.08</v>
      </c>
      <c r="P22" s="10">
        <v>1348.91</v>
      </c>
      <c r="Q22" s="10">
        <v>1439.85</v>
      </c>
      <c r="R22" s="10">
        <v>1379.24</v>
      </c>
      <c r="S22" s="10">
        <v>1494.4</v>
      </c>
      <c r="T22" s="10">
        <v>1521.63</v>
      </c>
      <c r="U22" s="10">
        <v>1573.95</v>
      </c>
      <c r="V22" s="10">
        <v>1631.76</v>
      </c>
      <c r="W22" s="10">
        <v>1689.4</v>
      </c>
    </row>
    <row r="23">
      <c r="A23" s="10" t="s">
        <v>67</v>
      </c>
      <c r="B23" s="10">
        <v>378.49</v>
      </c>
      <c r="C23" s="10">
        <v>404.32</v>
      </c>
      <c r="D23" s="10">
        <v>430.5</v>
      </c>
      <c r="E23" s="10">
        <v>421.22</v>
      </c>
      <c r="F23" s="10">
        <v>426.01</v>
      </c>
      <c r="G23" s="10">
        <v>357.51</v>
      </c>
      <c r="H23" s="10">
        <v>365.45</v>
      </c>
      <c r="I23" s="10">
        <v>404.68</v>
      </c>
      <c r="J23" s="10">
        <v>433.47</v>
      </c>
      <c r="K23" s="10">
        <v>449.66</v>
      </c>
      <c r="L23" s="10">
        <v>459.15</v>
      </c>
      <c r="M23" s="10">
        <v>300.27</v>
      </c>
      <c r="N23" s="10">
        <v>310.01</v>
      </c>
      <c r="O23" s="10">
        <v>323.93</v>
      </c>
      <c r="P23" s="10">
        <v>307.91</v>
      </c>
      <c r="Q23" s="10">
        <v>305.13</v>
      </c>
      <c r="R23" s="10">
        <v>252.67</v>
      </c>
      <c r="S23" s="10">
        <v>257.09</v>
      </c>
      <c r="T23" s="10">
        <v>273.19</v>
      </c>
      <c r="U23" s="10">
        <v>284.21</v>
      </c>
      <c r="V23" s="10">
        <v>290.53</v>
      </c>
      <c r="W23" s="10">
        <v>292.21</v>
      </c>
    </row>
    <row r="24">
      <c r="A24" s="10" t="s">
        <v>69</v>
      </c>
      <c r="B24" s="10">
        <v>204.4</v>
      </c>
      <c r="C24" s="10">
        <v>205.28</v>
      </c>
      <c r="D24" s="10">
        <v>225.3</v>
      </c>
      <c r="E24" s="10">
        <v>241.77</v>
      </c>
      <c r="F24" s="10">
        <v>244.92</v>
      </c>
      <c r="G24" s="10">
        <v>233.75</v>
      </c>
      <c r="H24" s="10">
        <v>228.82</v>
      </c>
      <c r="I24" s="10">
        <v>257.96</v>
      </c>
      <c r="J24" s="10">
        <v>267.65</v>
      </c>
      <c r="K24" s="10">
        <v>279.98</v>
      </c>
      <c r="L24" s="10">
        <v>280.59</v>
      </c>
      <c r="M24" s="10">
        <v>186.55</v>
      </c>
      <c r="N24" s="10">
        <v>183.51</v>
      </c>
      <c r="O24" s="10">
        <v>198.31</v>
      </c>
      <c r="P24" s="10">
        <v>209.43</v>
      </c>
      <c r="Q24" s="10">
        <v>209.62</v>
      </c>
      <c r="R24" s="10">
        <v>198.96</v>
      </c>
      <c r="S24" s="10">
        <v>187.17</v>
      </c>
      <c r="T24" s="10">
        <v>198.56</v>
      </c>
      <c r="U24" s="10">
        <v>199.67</v>
      </c>
      <c r="V24" s="10">
        <v>204.83</v>
      </c>
      <c r="W24" s="10">
        <v>196.68</v>
      </c>
    </row>
    <row r="25">
      <c r="A25" s="10" t="s">
        <v>72</v>
      </c>
      <c r="B25" s="10">
        <v>293.84</v>
      </c>
      <c r="C25" s="10">
        <v>322.79</v>
      </c>
      <c r="D25" s="10">
        <v>346.84</v>
      </c>
      <c r="E25" s="10">
        <v>374.2</v>
      </c>
      <c r="F25" s="10">
        <v>405.21</v>
      </c>
      <c r="G25" s="10">
        <v>397.94</v>
      </c>
      <c r="H25" s="10">
        <v>389.76</v>
      </c>
      <c r="I25" s="10">
        <v>426.22</v>
      </c>
      <c r="J25" s="10">
        <v>489.48</v>
      </c>
      <c r="K25" s="10">
        <v>515.25</v>
      </c>
      <c r="L25" s="10">
        <v>498.01</v>
      </c>
      <c r="M25" s="10">
        <v>253.69</v>
      </c>
      <c r="N25" s="10">
        <v>268.71</v>
      </c>
      <c r="O25" s="10">
        <v>278.53</v>
      </c>
      <c r="P25" s="10">
        <v>287.37</v>
      </c>
      <c r="Q25" s="10">
        <v>307.56</v>
      </c>
      <c r="R25" s="10">
        <v>296.47</v>
      </c>
      <c r="S25" s="10">
        <v>283.78</v>
      </c>
      <c r="T25" s="10">
        <v>286.49</v>
      </c>
      <c r="U25" s="10">
        <v>311.91</v>
      </c>
      <c r="V25" s="10">
        <v>317.81</v>
      </c>
      <c r="W25" s="10">
        <v>309.93</v>
      </c>
    </row>
    <row r="26">
      <c r="A26" s="10" t="s">
        <v>74</v>
      </c>
      <c r="B26" s="10">
        <v>131.0</v>
      </c>
      <c r="C26" s="10">
        <v>142.9</v>
      </c>
      <c r="D26" s="10">
        <v>152.56</v>
      </c>
      <c r="E26" s="10">
        <v>158.41</v>
      </c>
      <c r="F26" s="10">
        <v>164.06</v>
      </c>
      <c r="G26" s="10">
        <v>184.2</v>
      </c>
      <c r="H26" s="10">
        <v>191.75</v>
      </c>
      <c r="I26" s="10">
        <v>202.41</v>
      </c>
      <c r="J26" s="10">
        <v>202.46</v>
      </c>
      <c r="K26" s="10">
        <v>202.61</v>
      </c>
      <c r="L26" s="10">
        <v>209.92</v>
      </c>
      <c r="M26" s="10">
        <v>135.4</v>
      </c>
      <c r="N26" s="10">
        <v>144.38</v>
      </c>
      <c r="O26" s="10">
        <v>152.56</v>
      </c>
      <c r="P26" s="10">
        <v>154.83</v>
      </c>
      <c r="Q26" s="10">
        <v>157.74</v>
      </c>
      <c r="R26" s="10">
        <v>174.64</v>
      </c>
      <c r="S26" s="10">
        <v>175.13</v>
      </c>
      <c r="T26" s="10">
        <v>174.78</v>
      </c>
      <c r="U26" s="10">
        <v>166.88</v>
      </c>
      <c r="V26" s="10">
        <v>163.06</v>
      </c>
      <c r="W26" s="10">
        <v>164.67</v>
      </c>
    </row>
    <row r="27">
      <c r="A27" s="10" t="s">
        <v>77</v>
      </c>
      <c r="B27" s="10">
        <v>318.02</v>
      </c>
      <c r="C27" s="10">
        <v>306.05</v>
      </c>
      <c r="D27" s="10">
        <v>310.26</v>
      </c>
      <c r="E27" s="10">
        <v>314.39</v>
      </c>
      <c r="F27" s="10">
        <v>319.98</v>
      </c>
      <c r="G27" s="10">
        <v>309.64</v>
      </c>
      <c r="H27" s="10">
        <v>331.78</v>
      </c>
      <c r="I27" s="10">
        <v>335.76</v>
      </c>
      <c r="J27" s="10">
        <v>338.02</v>
      </c>
      <c r="K27" s="10">
        <v>341.58</v>
      </c>
      <c r="L27" s="10">
        <v>346.82</v>
      </c>
      <c r="M27" s="10">
        <v>265.7</v>
      </c>
      <c r="N27" s="10">
        <v>246.69</v>
      </c>
      <c r="O27" s="10">
        <v>254.14</v>
      </c>
      <c r="P27" s="10">
        <v>253.46</v>
      </c>
      <c r="Q27" s="10">
        <v>256.77</v>
      </c>
      <c r="R27" s="10">
        <v>249.83</v>
      </c>
      <c r="S27" s="10">
        <v>268.04</v>
      </c>
      <c r="T27" s="10">
        <v>263.0</v>
      </c>
      <c r="U27" s="10">
        <v>258.7</v>
      </c>
      <c r="V27" s="10">
        <v>252.45</v>
      </c>
      <c r="W27" s="10">
        <v>251.66</v>
      </c>
    </row>
    <row r="28">
      <c r="A28" s="10" t="s">
        <v>78</v>
      </c>
      <c r="B28" s="10">
        <v>426.57</v>
      </c>
      <c r="C28" s="10">
        <v>438.02</v>
      </c>
      <c r="D28" s="10">
        <v>472.98</v>
      </c>
      <c r="E28" s="10">
        <v>495.09</v>
      </c>
      <c r="F28" s="10">
        <v>494.99</v>
      </c>
      <c r="G28" s="10">
        <v>433.98</v>
      </c>
      <c r="H28" s="10">
        <v>463.92</v>
      </c>
      <c r="I28" s="10">
        <v>512.08</v>
      </c>
      <c r="J28" s="10">
        <v>565.33</v>
      </c>
      <c r="K28" s="10">
        <v>604.05</v>
      </c>
      <c r="L28" s="10">
        <v>602.36</v>
      </c>
      <c r="M28" s="10">
        <v>335.7</v>
      </c>
      <c r="N28" s="10">
        <v>336.59</v>
      </c>
      <c r="O28" s="10">
        <v>360.4</v>
      </c>
      <c r="P28" s="10">
        <v>373.12</v>
      </c>
      <c r="Q28" s="10">
        <v>369.07</v>
      </c>
      <c r="R28" s="10">
        <v>318.84</v>
      </c>
      <c r="S28" s="10">
        <v>332.93</v>
      </c>
      <c r="T28" s="10">
        <v>347.62</v>
      </c>
      <c r="U28" s="10">
        <v>367.35</v>
      </c>
      <c r="V28" s="10">
        <v>381.69</v>
      </c>
      <c r="W28" s="10">
        <v>370.65</v>
      </c>
    </row>
    <row r="29">
      <c r="A29" s="10" t="s">
        <v>79</v>
      </c>
      <c r="B29" s="10" t="s">
        <v>50</v>
      </c>
      <c r="C29" s="10" t="s">
        <v>50</v>
      </c>
      <c r="D29" s="10" t="s">
        <v>50</v>
      </c>
      <c r="E29" s="10" t="s">
        <v>50</v>
      </c>
      <c r="F29" s="10" t="s">
        <v>50</v>
      </c>
      <c r="G29" s="10" t="s">
        <v>50</v>
      </c>
      <c r="H29" s="10" t="s">
        <v>50</v>
      </c>
      <c r="I29" s="10" t="s">
        <v>50</v>
      </c>
      <c r="J29" s="10" t="s">
        <v>50</v>
      </c>
      <c r="K29" s="10" t="s">
        <v>50</v>
      </c>
      <c r="L29" s="10" t="s">
        <v>50</v>
      </c>
      <c r="M29" s="10" t="s">
        <v>50</v>
      </c>
      <c r="N29" s="10" t="s">
        <v>50</v>
      </c>
      <c r="O29" s="10" t="s">
        <v>50</v>
      </c>
      <c r="P29" s="10" t="s">
        <v>50</v>
      </c>
      <c r="Q29" s="10" t="s">
        <v>50</v>
      </c>
      <c r="R29" s="10" t="s">
        <v>50</v>
      </c>
      <c r="S29" s="10" t="s">
        <v>50</v>
      </c>
      <c r="T29" s="10" t="s">
        <v>50</v>
      </c>
      <c r="U29" s="10" t="s">
        <v>50</v>
      </c>
      <c r="V29" s="10" t="s">
        <v>50</v>
      </c>
      <c r="W29" s="10" t="s">
        <v>50</v>
      </c>
    </row>
    <row r="30">
      <c r="A30" s="10" t="s">
        <v>82</v>
      </c>
      <c r="B30" s="10">
        <v>890.73</v>
      </c>
      <c r="C30" s="10">
        <v>935.01</v>
      </c>
      <c r="D30" s="10">
        <v>938.7</v>
      </c>
      <c r="E30" s="10">
        <v>925.06</v>
      </c>
      <c r="F30" s="10">
        <v>958.73</v>
      </c>
      <c r="G30" s="10">
        <v>964.11</v>
      </c>
      <c r="H30" s="10">
        <v>1023.28</v>
      </c>
      <c r="I30" s="10">
        <v>1090.39</v>
      </c>
      <c r="J30" s="10">
        <v>1199.72</v>
      </c>
      <c r="K30" s="10">
        <v>1294.41</v>
      </c>
      <c r="L30" s="10">
        <v>1389.48</v>
      </c>
      <c r="M30" s="10">
        <v>777.41</v>
      </c>
      <c r="N30" s="10">
        <v>801.51</v>
      </c>
      <c r="O30" s="10">
        <v>799.6</v>
      </c>
      <c r="P30" s="10">
        <v>770.48</v>
      </c>
      <c r="Q30" s="10">
        <v>785.49</v>
      </c>
      <c r="R30" s="10">
        <v>792.35</v>
      </c>
      <c r="S30" s="10">
        <v>806.19</v>
      </c>
      <c r="T30" s="10">
        <v>824.26</v>
      </c>
      <c r="U30" s="10">
        <v>887.28</v>
      </c>
      <c r="V30" s="10">
        <v>941.6</v>
      </c>
      <c r="W30" s="10">
        <v>992.81</v>
      </c>
    </row>
    <row r="31">
      <c r="A31" s="10" t="s">
        <v>84</v>
      </c>
      <c r="B31" s="10">
        <v>494.96</v>
      </c>
      <c r="C31" s="10">
        <v>542.43</v>
      </c>
      <c r="D31" s="10">
        <v>562.13</v>
      </c>
      <c r="E31" s="10">
        <v>582.98</v>
      </c>
      <c r="F31" s="10">
        <v>592.63</v>
      </c>
      <c r="G31" s="10">
        <v>534.0</v>
      </c>
      <c r="H31" s="10">
        <v>545.67</v>
      </c>
      <c r="I31" s="10">
        <v>572.26</v>
      </c>
      <c r="J31" s="10">
        <v>622.73</v>
      </c>
      <c r="K31" s="10">
        <v>633.42</v>
      </c>
      <c r="L31" s="10">
        <v>665.74</v>
      </c>
      <c r="M31" s="10">
        <v>430.75</v>
      </c>
      <c r="N31" s="10">
        <v>450.7</v>
      </c>
      <c r="O31" s="10">
        <v>465.14</v>
      </c>
      <c r="P31" s="10">
        <v>476.24</v>
      </c>
      <c r="Q31" s="10">
        <v>471.57</v>
      </c>
      <c r="R31" s="10">
        <v>417.45</v>
      </c>
      <c r="S31" s="10">
        <v>411.9</v>
      </c>
      <c r="T31" s="10">
        <v>407.29</v>
      </c>
      <c r="U31" s="10">
        <v>410.04</v>
      </c>
      <c r="V31" s="10">
        <v>399.98</v>
      </c>
      <c r="W31" s="10">
        <v>416.06</v>
      </c>
    </row>
    <row r="32">
      <c r="A32" s="10" t="s">
        <v>85</v>
      </c>
      <c r="B32" s="10">
        <v>3.1</v>
      </c>
      <c r="C32" s="10">
        <v>3.05</v>
      </c>
      <c r="D32" s="10">
        <v>3.19</v>
      </c>
      <c r="E32" s="10">
        <v>3.35</v>
      </c>
      <c r="F32" s="10">
        <v>3.53</v>
      </c>
      <c r="G32" s="10">
        <v>3.64</v>
      </c>
      <c r="H32" s="10">
        <v>3.24</v>
      </c>
      <c r="I32" s="10">
        <v>3.42</v>
      </c>
      <c r="J32" s="10">
        <v>3.75</v>
      </c>
      <c r="K32" s="10">
        <v>3.82</v>
      </c>
      <c r="L32" s="10">
        <v>3.98</v>
      </c>
      <c r="M32" s="10">
        <v>2.63</v>
      </c>
      <c r="N32" s="10">
        <v>2.51</v>
      </c>
      <c r="O32" s="10">
        <v>2.61</v>
      </c>
      <c r="P32" s="10">
        <v>2.7</v>
      </c>
      <c r="Q32" s="10">
        <v>2.77</v>
      </c>
      <c r="R32" s="10">
        <v>2.79</v>
      </c>
      <c r="S32" s="10">
        <v>2.43</v>
      </c>
      <c r="T32" s="10">
        <v>2.36</v>
      </c>
      <c r="U32" s="10">
        <v>2.4</v>
      </c>
      <c r="V32" s="10">
        <v>2.4</v>
      </c>
      <c r="W32" s="10">
        <v>2.5</v>
      </c>
    </row>
    <row r="33">
      <c r="A33" s="10" t="s">
        <v>89</v>
      </c>
      <c r="B33" s="10">
        <v>538.31</v>
      </c>
      <c r="C33" s="10">
        <v>572.73</v>
      </c>
      <c r="D33" s="10">
        <v>625.51</v>
      </c>
      <c r="E33" s="10">
        <v>692.14</v>
      </c>
      <c r="F33" s="10">
        <v>732.58</v>
      </c>
      <c r="G33" s="10">
        <v>721.59</v>
      </c>
      <c r="H33" s="10">
        <v>802.75</v>
      </c>
      <c r="I33" s="10">
        <v>868.17</v>
      </c>
      <c r="J33" s="10">
        <v>908.85</v>
      </c>
      <c r="K33" s="10">
        <v>931.47</v>
      </c>
      <c r="L33" s="10">
        <v>958.77</v>
      </c>
      <c r="M33" s="10">
        <v>453.94</v>
      </c>
      <c r="N33" s="10">
        <v>470.53</v>
      </c>
      <c r="O33" s="10">
        <v>503.68</v>
      </c>
      <c r="P33" s="10">
        <v>545.91</v>
      </c>
      <c r="Q33" s="10">
        <v>566.5</v>
      </c>
      <c r="R33" s="10">
        <v>542.97</v>
      </c>
      <c r="S33" s="10">
        <v>584.49</v>
      </c>
      <c r="T33" s="10">
        <v>609.41</v>
      </c>
      <c r="U33" s="10">
        <v>615.89</v>
      </c>
      <c r="V33" s="10">
        <v>622.95</v>
      </c>
      <c r="W33" s="10">
        <v>632.39</v>
      </c>
    </row>
    <row r="34">
      <c r="A34" s="10" t="s">
        <v>92</v>
      </c>
      <c r="B34" s="10">
        <v>319.5</v>
      </c>
      <c r="C34" s="10">
        <v>336.49</v>
      </c>
      <c r="D34" s="10">
        <v>363.1</v>
      </c>
      <c r="E34" s="10">
        <v>397.04</v>
      </c>
      <c r="F34" s="10">
        <v>424.88</v>
      </c>
      <c r="G34" s="10">
        <v>400.42</v>
      </c>
      <c r="H34" s="10">
        <v>404.39</v>
      </c>
      <c r="I34" s="10">
        <v>445.45</v>
      </c>
      <c r="J34" s="10">
        <v>478.99</v>
      </c>
      <c r="K34" s="10">
        <v>510.55</v>
      </c>
      <c r="L34" s="10">
        <v>528.96</v>
      </c>
      <c r="M34" s="10">
        <v>250.7</v>
      </c>
      <c r="N34" s="10">
        <v>253.8</v>
      </c>
      <c r="O34" s="10">
        <v>271.12</v>
      </c>
      <c r="P34" s="10">
        <v>286.56</v>
      </c>
      <c r="Q34" s="10">
        <v>296.36</v>
      </c>
      <c r="R34" s="10">
        <v>274.36</v>
      </c>
      <c r="S34" s="10">
        <v>269.44</v>
      </c>
      <c r="T34" s="10">
        <v>283.13</v>
      </c>
      <c r="U34" s="10">
        <v>285.25</v>
      </c>
      <c r="V34" s="10">
        <v>294.45</v>
      </c>
      <c r="W34" s="10">
        <v>298.94</v>
      </c>
    </row>
    <row r="35">
      <c r="A35" s="10" t="s">
        <v>93</v>
      </c>
      <c r="B35" s="10">
        <v>118.01</v>
      </c>
      <c r="C35" s="10">
        <v>141.79</v>
      </c>
      <c r="D35" s="10">
        <v>173.69</v>
      </c>
      <c r="E35" s="10">
        <v>186.51</v>
      </c>
      <c r="F35" s="10">
        <v>202.28</v>
      </c>
      <c r="G35" s="10">
        <v>198.15</v>
      </c>
      <c r="H35" s="10">
        <v>203.05</v>
      </c>
      <c r="I35" s="10">
        <v>223.58</v>
      </c>
      <c r="J35" s="10">
        <v>250.0</v>
      </c>
      <c r="K35" s="10">
        <v>277.56</v>
      </c>
      <c r="L35" s="10">
        <v>292.22</v>
      </c>
      <c r="M35" s="10">
        <v>127.7</v>
      </c>
      <c r="N35" s="10">
        <v>145.91</v>
      </c>
      <c r="O35" s="10">
        <v>151.68</v>
      </c>
      <c r="P35" s="10">
        <v>156.71</v>
      </c>
      <c r="Q35" s="10">
        <v>165.22</v>
      </c>
      <c r="R35" s="10">
        <v>162.93</v>
      </c>
      <c r="S35" s="10">
        <v>166.85</v>
      </c>
      <c r="T35" s="10">
        <v>178.22</v>
      </c>
      <c r="U35" s="10">
        <v>191.26</v>
      </c>
      <c r="V35" s="10">
        <v>211.67</v>
      </c>
      <c r="W35" s="10">
        <v>221.32</v>
      </c>
    </row>
    <row r="36">
      <c r="A36" s="10" t="s">
        <v>94</v>
      </c>
      <c r="B36" s="10">
        <v>117.04</v>
      </c>
      <c r="C36" s="10">
        <v>140.75</v>
      </c>
      <c r="D36" s="10">
        <v>172.56</v>
      </c>
      <c r="E36" s="10">
        <v>185.38</v>
      </c>
      <c r="F36" s="10">
        <v>201.01</v>
      </c>
      <c r="G36" s="10">
        <v>196.99</v>
      </c>
      <c r="H36" s="10">
        <v>201.87</v>
      </c>
      <c r="I36" s="10">
        <v>222.23</v>
      </c>
      <c r="J36" s="10">
        <v>248.06</v>
      </c>
      <c r="K36" s="10">
        <v>274.04</v>
      </c>
      <c r="L36" s="10">
        <v>288.38</v>
      </c>
      <c r="M36" s="10">
        <v>126.89</v>
      </c>
      <c r="N36" s="10">
        <v>145.09</v>
      </c>
      <c r="O36" s="10">
        <v>150.84</v>
      </c>
      <c r="P36" s="10">
        <v>155.86</v>
      </c>
      <c r="Q36" s="10">
        <v>164.28</v>
      </c>
      <c r="R36" s="10">
        <v>162.07</v>
      </c>
      <c r="S36" s="10">
        <v>166.0</v>
      </c>
      <c r="T36" s="10">
        <v>177.29</v>
      </c>
      <c r="U36" s="10">
        <v>189.95</v>
      </c>
      <c r="V36" s="10">
        <v>209.3</v>
      </c>
      <c r="W36" s="10">
        <v>218.8</v>
      </c>
    </row>
    <row r="37">
      <c r="A37" s="10" t="s">
        <v>96</v>
      </c>
      <c r="B37" s="10">
        <v>0.97</v>
      </c>
      <c r="C37" s="10">
        <v>1.05</v>
      </c>
      <c r="D37" s="10">
        <v>1.13</v>
      </c>
      <c r="E37" s="10">
        <v>1.14</v>
      </c>
      <c r="F37" s="10">
        <v>1.26</v>
      </c>
      <c r="G37" s="10">
        <v>1.16</v>
      </c>
      <c r="H37" s="10">
        <v>1.18</v>
      </c>
      <c r="I37" s="10">
        <v>1.35</v>
      </c>
      <c r="J37" s="10">
        <v>1.93</v>
      </c>
      <c r="K37" s="10">
        <v>3.52</v>
      </c>
      <c r="L37" s="10">
        <v>3.84</v>
      </c>
      <c r="M37" s="10">
        <v>0.81</v>
      </c>
      <c r="N37" s="10">
        <v>0.82</v>
      </c>
      <c r="O37" s="10">
        <v>0.84</v>
      </c>
      <c r="P37" s="10">
        <v>0.84</v>
      </c>
      <c r="Q37" s="10">
        <v>0.93</v>
      </c>
      <c r="R37" s="10">
        <v>0.85</v>
      </c>
      <c r="S37" s="10">
        <v>0.85</v>
      </c>
      <c r="T37" s="10">
        <v>0.93</v>
      </c>
      <c r="U37" s="10">
        <v>1.3</v>
      </c>
      <c r="V37" s="10">
        <v>2.38</v>
      </c>
      <c r="W37" s="10">
        <v>2.51</v>
      </c>
    </row>
    <row r="38">
      <c r="A38" s="10" t="s">
        <v>98</v>
      </c>
      <c r="B38" s="10">
        <v>109.7</v>
      </c>
      <c r="C38" s="10">
        <v>114.76</v>
      </c>
      <c r="D38" s="10">
        <v>121.27</v>
      </c>
      <c r="E38" s="10">
        <v>128.13</v>
      </c>
      <c r="F38" s="10">
        <v>139.65</v>
      </c>
      <c r="G38" s="10">
        <v>141.44</v>
      </c>
      <c r="H38" s="10">
        <v>153.14</v>
      </c>
      <c r="I38" s="10">
        <v>162.57</v>
      </c>
      <c r="J38" s="10">
        <v>171.98</v>
      </c>
      <c r="K38" s="10">
        <v>174.22</v>
      </c>
      <c r="L38" s="10">
        <v>174.28</v>
      </c>
      <c r="M38" s="10">
        <v>85.26</v>
      </c>
      <c r="N38" s="10">
        <v>87.27</v>
      </c>
      <c r="O38" s="10">
        <v>90.29</v>
      </c>
      <c r="P38" s="10">
        <v>94.92</v>
      </c>
      <c r="Q38" s="10">
        <v>103.37</v>
      </c>
      <c r="R38" s="10">
        <v>103.9</v>
      </c>
      <c r="S38" s="10">
        <v>110.99</v>
      </c>
      <c r="T38" s="10">
        <v>114.64</v>
      </c>
      <c r="U38" s="10">
        <v>118.57</v>
      </c>
      <c r="V38" s="10">
        <v>119.62</v>
      </c>
      <c r="W38" s="10">
        <v>118.96</v>
      </c>
    </row>
    <row r="39">
      <c r="A39" s="10" t="s">
        <v>99</v>
      </c>
      <c r="B39" s="10">
        <v>9499.92</v>
      </c>
      <c r="C39" s="10">
        <v>10286.73</v>
      </c>
      <c r="D39" s="10">
        <v>11310.87</v>
      </c>
      <c r="E39" s="10">
        <v>13351.68</v>
      </c>
      <c r="F39" s="10">
        <v>15717.53</v>
      </c>
      <c r="G39" s="10">
        <v>13325.55</v>
      </c>
      <c r="H39" s="10">
        <v>15147.86</v>
      </c>
      <c r="I39" s="10">
        <v>16440.15</v>
      </c>
      <c r="J39" s="10">
        <v>17037.27</v>
      </c>
      <c r="K39" s="10">
        <v>18640.92</v>
      </c>
      <c r="L39" s="10">
        <v>20420.61</v>
      </c>
      <c r="M39" s="10">
        <v>7826.7</v>
      </c>
      <c r="N39" s="10">
        <v>8250.61</v>
      </c>
      <c r="O39" s="10">
        <v>8828.65</v>
      </c>
      <c r="P39" s="10">
        <v>9984.76</v>
      </c>
      <c r="Q39" s="10">
        <v>11420.64</v>
      </c>
      <c r="R39" s="10">
        <v>9636.84</v>
      </c>
      <c r="S39" s="10">
        <v>10679.27</v>
      </c>
      <c r="T39" s="10">
        <v>11193.38</v>
      </c>
      <c r="U39" s="10">
        <v>11732.07</v>
      </c>
      <c r="V39" s="10">
        <v>12722.05</v>
      </c>
      <c r="W39" s="10">
        <v>13717.54</v>
      </c>
    </row>
    <row r="40">
      <c r="A40" s="10" t="s">
        <v>101</v>
      </c>
      <c r="B40" s="10">
        <v>8342.65</v>
      </c>
      <c r="C40" s="10">
        <v>9297.75</v>
      </c>
      <c r="D40" s="10">
        <v>10220.36</v>
      </c>
      <c r="E40" s="10">
        <v>11156.43</v>
      </c>
      <c r="F40" s="10">
        <v>11958.91</v>
      </c>
      <c r="G40" s="10">
        <v>11638.99</v>
      </c>
      <c r="H40" s="10">
        <v>12169.43</v>
      </c>
      <c r="I40" s="10">
        <v>13677.56</v>
      </c>
      <c r="J40" s="10">
        <v>14768.7</v>
      </c>
      <c r="K40" s="10">
        <v>15619.25</v>
      </c>
      <c r="L40" s="10">
        <v>16761.57</v>
      </c>
      <c r="M40" s="10">
        <v>6944.9</v>
      </c>
      <c r="N40" s="10">
        <v>7366.32</v>
      </c>
      <c r="O40" s="10">
        <v>7787.54</v>
      </c>
      <c r="P40" s="10">
        <v>8219.29</v>
      </c>
      <c r="Q40" s="10">
        <v>8643.44</v>
      </c>
      <c r="R40" s="10">
        <v>8254.03</v>
      </c>
      <c r="S40" s="10">
        <v>8379.07</v>
      </c>
      <c r="T40" s="10">
        <v>8779.73</v>
      </c>
      <c r="U40" s="10">
        <v>9159.47</v>
      </c>
      <c r="V40" s="10">
        <v>9519.98</v>
      </c>
      <c r="W40" s="10">
        <v>10024.25</v>
      </c>
    </row>
    <row r="41">
      <c r="A41" s="31" t="s">
        <v>103</v>
      </c>
      <c r="B41" s="31">
        <v>1401.77</v>
      </c>
      <c r="C41" s="31">
        <v>1569.79</v>
      </c>
      <c r="D41" s="31">
        <v>1720.35</v>
      </c>
      <c r="E41" s="31">
        <v>1863.98</v>
      </c>
      <c r="F41" s="31">
        <v>2044.29</v>
      </c>
      <c r="G41" s="31">
        <v>1887.49</v>
      </c>
      <c r="H41" s="31">
        <v>2006.79</v>
      </c>
      <c r="I41" s="31">
        <v>2259.02</v>
      </c>
      <c r="J41" s="31">
        <v>2537.74</v>
      </c>
      <c r="K41" s="31">
        <v>2497.59</v>
      </c>
      <c r="L41" s="31">
        <v>2586.16</v>
      </c>
      <c r="M41" s="31">
        <v>1091.04</v>
      </c>
      <c r="N41" s="31">
        <v>1165.92</v>
      </c>
      <c r="O41" s="31">
        <v>1229.21</v>
      </c>
      <c r="P41" s="31">
        <v>1291.66</v>
      </c>
      <c r="Q41" s="31">
        <v>1358.37</v>
      </c>
      <c r="R41" s="31">
        <v>1201.22</v>
      </c>
      <c r="S41" s="31">
        <v>1190.97</v>
      </c>
      <c r="T41" s="31">
        <v>1265.11</v>
      </c>
      <c r="U41" s="31">
        <v>1327.68</v>
      </c>
      <c r="V41" s="31">
        <v>1274.44</v>
      </c>
      <c r="W41" s="31">
        <v>1290.49</v>
      </c>
    </row>
    <row r="42">
      <c r="A42" s="32" t="s">
        <v>104</v>
      </c>
      <c r="B42" s="33">
        <v>6940.88</v>
      </c>
      <c r="C42" s="33">
        <v>7727.96</v>
      </c>
      <c r="D42" s="33">
        <v>8500.01</v>
      </c>
      <c r="E42" s="33">
        <v>9292.45</v>
      </c>
      <c r="F42" s="33">
        <v>9914.63</v>
      </c>
      <c r="G42" s="33">
        <v>9751.49</v>
      </c>
      <c r="H42" s="33">
        <v>10162.65</v>
      </c>
      <c r="I42" s="33">
        <v>11418.53</v>
      </c>
      <c r="J42" s="33">
        <v>12230.95</v>
      </c>
      <c r="K42" s="33">
        <v>13121.67</v>
      </c>
      <c r="L42" s="33">
        <v>14175.41</v>
      </c>
      <c r="M42" s="33">
        <v>5853.86</v>
      </c>
      <c r="N42" s="33">
        <v>6200.4</v>
      </c>
      <c r="O42" s="33">
        <v>6558.33</v>
      </c>
      <c r="P42" s="33">
        <v>6927.63</v>
      </c>
      <c r="Q42" s="33">
        <v>7285.07</v>
      </c>
      <c r="R42" s="33">
        <v>7052.81</v>
      </c>
      <c r="S42" s="33">
        <v>7188.1</v>
      </c>
      <c r="T42" s="33">
        <v>7514.62</v>
      </c>
      <c r="U42" s="33">
        <v>7831.79</v>
      </c>
      <c r="V42" s="33">
        <v>8245.54</v>
      </c>
      <c r="W42" s="34">
        <v>8733.76</v>
      </c>
    </row>
    <row r="43">
      <c r="A43" s="35" t="s">
        <v>108</v>
      </c>
      <c r="B43" s="37">
        <v>5763.85</v>
      </c>
      <c r="C43" s="37">
        <v>6248.79</v>
      </c>
      <c r="D43" s="37">
        <v>6783.6</v>
      </c>
      <c r="E43" s="37">
        <v>7469.98</v>
      </c>
      <c r="F43" s="37">
        <v>7943.91</v>
      </c>
      <c r="G43" s="37">
        <v>6332.5</v>
      </c>
      <c r="H43" s="37">
        <v>6650.15</v>
      </c>
      <c r="I43" s="37">
        <v>8483.54</v>
      </c>
      <c r="J43" s="37">
        <v>10147.67</v>
      </c>
      <c r="K43" s="37">
        <v>11286.73</v>
      </c>
      <c r="L43" s="37">
        <v>11933.75</v>
      </c>
      <c r="M43" s="37">
        <v>4541.31</v>
      </c>
      <c r="N43" s="37">
        <v>4750.17</v>
      </c>
      <c r="O43" s="37">
        <v>4976.41</v>
      </c>
      <c r="P43" s="37">
        <v>5304.84</v>
      </c>
      <c r="Q43" s="37">
        <v>5493.4</v>
      </c>
      <c r="R43" s="37">
        <v>4383.21</v>
      </c>
      <c r="S43" s="37">
        <v>4471.41</v>
      </c>
      <c r="T43" s="37">
        <v>5287.74</v>
      </c>
      <c r="U43" s="37">
        <v>5830.82</v>
      </c>
      <c r="V43" s="38">
        <v>6188.17</v>
      </c>
      <c r="W43" s="39">
        <v>6530.34</v>
      </c>
    </row>
    <row r="44">
      <c r="A44" s="40" t="s">
        <v>120</v>
      </c>
      <c r="B44" s="10">
        <v>101.34</v>
      </c>
      <c r="C44" s="10">
        <v>108.25</v>
      </c>
      <c r="D44" s="10">
        <v>130.06</v>
      </c>
      <c r="E44" s="10">
        <v>142.83</v>
      </c>
      <c r="F44" s="10">
        <v>174.14</v>
      </c>
      <c r="G44" s="10">
        <v>106.92</v>
      </c>
      <c r="H44" s="10">
        <v>134.65</v>
      </c>
      <c r="I44" s="10">
        <v>214.84</v>
      </c>
      <c r="J44" s="10">
        <v>314.26</v>
      </c>
      <c r="K44" s="10">
        <v>411.7</v>
      </c>
      <c r="L44" s="10">
        <v>433.59</v>
      </c>
      <c r="M44" s="10">
        <v>65.37</v>
      </c>
      <c r="N44" s="10">
        <v>67.16</v>
      </c>
      <c r="O44" s="10">
        <v>78.9</v>
      </c>
      <c r="P44" s="10">
        <v>83.77</v>
      </c>
      <c r="Q44" s="10">
        <v>95.24</v>
      </c>
      <c r="R44" s="10">
        <v>52.4</v>
      </c>
      <c r="S44" s="10">
        <v>60.91</v>
      </c>
      <c r="T44" s="10">
        <v>89.54</v>
      </c>
      <c r="U44" s="10">
        <v>115.89</v>
      </c>
      <c r="V44" s="41">
        <v>141.51</v>
      </c>
      <c r="W44" s="10">
        <v>149.2</v>
      </c>
    </row>
    <row r="45">
      <c r="A45" s="40" t="s">
        <v>121</v>
      </c>
      <c r="B45" s="10">
        <v>3485.83</v>
      </c>
      <c r="C45" s="10">
        <v>3627.08</v>
      </c>
      <c r="D45" s="10">
        <v>3804.09</v>
      </c>
      <c r="E45" s="10">
        <v>4047.06</v>
      </c>
      <c r="F45" s="10">
        <v>4445.14</v>
      </c>
      <c r="G45" s="10">
        <v>4211.26</v>
      </c>
      <c r="H45" s="10">
        <v>4615.51</v>
      </c>
      <c r="I45" s="10">
        <v>5527.07</v>
      </c>
      <c r="J45" s="10">
        <v>6330.57</v>
      </c>
      <c r="K45" s="10">
        <v>7191.13</v>
      </c>
      <c r="L45" s="10">
        <v>7748.77</v>
      </c>
      <c r="M45" s="10">
        <v>2902.68</v>
      </c>
      <c r="N45" s="10">
        <v>2957.49</v>
      </c>
      <c r="O45" s="10">
        <v>3053.11</v>
      </c>
      <c r="P45" s="10">
        <v>3200.76</v>
      </c>
      <c r="Q45" s="10">
        <v>3382.37</v>
      </c>
      <c r="R45" s="10">
        <v>3067.19</v>
      </c>
      <c r="S45" s="10">
        <v>3292.15</v>
      </c>
      <c r="T45" s="10">
        <v>3764.35</v>
      </c>
      <c r="U45" s="10">
        <v>4037.78</v>
      </c>
      <c r="V45" s="41">
        <v>4289.13</v>
      </c>
      <c r="W45" s="10">
        <v>4560.88</v>
      </c>
    </row>
    <row r="46">
      <c r="A46" s="40" t="s">
        <v>123</v>
      </c>
      <c r="B46" s="10" t="s">
        <v>50</v>
      </c>
      <c r="C46" s="10" t="s">
        <v>50</v>
      </c>
      <c r="D46" s="10" t="s">
        <v>50</v>
      </c>
      <c r="E46" s="10" t="s">
        <v>50</v>
      </c>
      <c r="F46" s="10" t="s">
        <v>50</v>
      </c>
      <c r="G46" s="10" t="s">
        <v>50</v>
      </c>
      <c r="H46" s="10" t="s">
        <v>50</v>
      </c>
      <c r="I46" s="10" t="s">
        <v>50</v>
      </c>
      <c r="J46" s="10">
        <v>0.0</v>
      </c>
      <c r="K46" s="10">
        <v>0.0</v>
      </c>
      <c r="L46" s="10" t="s">
        <v>50</v>
      </c>
      <c r="M46" s="10" t="s">
        <v>50</v>
      </c>
      <c r="N46" s="10" t="s">
        <v>50</v>
      </c>
      <c r="O46" s="10" t="s">
        <v>50</v>
      </c>
      <c r="P46" s="10" t="s">
        <v>50</v>
      </c>
      <c r="Q46" s="10" t="s">
        <v>50</v>
      </c>
      <c r="R46" s="10" t="s">
        <v>50</v>
      </c>
      <c r="S46" s="10" t="s">
        <v>50</v>
      </c>
      <c r="T46" s="10" t="s">
        <v>50</v>
      </c>
      <c r="U46" s="10" t="s">
        <v>50</v>
      </c>
      <c r="V46" s="41" t="s">
        <v>50</v>
      </c>
      <c r="W46" s="10" t="s">
        <v>50</v>
      </c>
    </row>
    <row r="47">
      <c r="A47" s="40" t="s">
        <v>124</v>
      </c>
      <c r="B47" s="10" t="s">
        <v>50</v>
      </c>
      <c r="C47" s="10" t="s">
        <v>50</v>
      </c>
      <c r="D47" s="10" t="s">
        <v>50</v>
      </c>
      <c r="E47" s="10" t="s">
        <v>50</v>
      </c>
      <c r="F47" s="10" t="s">
        <v>50</v>
      </c>
      <c r="G47" s="10" t="s">
        <v>50</v>
      </c>
      <c r="H47" s="10" t="s">
        <v>50</v>
      </c>
      <c r="I47" s="10" t="s">
        <v>50</v>
      </c>
      <c r="J47" s="10">
        <v>0.0</v>
      </c>
      <c r="K47" s="10">
        <v>0.0</v>
      </c>
      <c r="L47" s="10" t="s">
        <v>50</v>
      </c>
      <c r="M47" s="10" t="s">
        <v>50</v>
      </c>
      <c r="N47" s="10" t="s">
        <v>50</v>
      </c>
      <c r="O47" s="10" t="s">
        <v>50</v>
      </c>
      <c r="P47" s="10" t="s">
        <v>50</v>
      </c>
      <c r="Q47" s="10" t="s">
        <v>50</v>
      </c>
      <c r="R47" s="10" t="s">
        <v>50</v>
      </c>
      <c r="S47" s="10" t="s">
        <v>50</v>
      </c>
      <c r="T47" s="10" t="s">
        <v>50</v>
      </c>
      <c r="U47" s="10" t="s">
        <v>50</v>
      </c>
      <c r="V47" s="41" t="s">
        <v>50</v>
      </c>
      <c r="W47" s="10" t="s">
        <v>50</v>
      </c>
    </row>
    <row r="48">
      <c r="A48" s="40" t="s">
        <v>125</v>
      </c>
      <c r="B48" s="10">
        <v>992.29</v>
      </c>
      <c r="C48" s="10">
        <v>1205.34</v>
      </c>
      <c r="D48" s="10">
        <v>1402.53</v>
      </c>
      <c r="E48" s="10">
        <v>1676.88</v>
      </c>
      <c r="F48" s="10">
        <v>1516.37</v>
      </c>
      <c r="G48" s="10">
        <v>445.66</v>
      </c>
      <c r="H48" s="10">
        <v>266.14</v>
      </c>
      <c r="I48" s="10">
        <v>705.84</v>
      </c>
      <c r="J48" s="10">
        <v>1188.95</v>
      </c>
      <c r="K48" s="10">
        <v>1171.88</v>
      </c>
      <c r="L48" s="10">
        <v>1070.29</v>
      </c>
      <c r="M48" s="10">
        <v>650.04</v>
      </c>
      <c r="N48" s="10">
        <v>740.18</v>
      </c>
      <c r="O48" s="10">
        <v>800.04</v>
      </c>
      <c r="P48" s="10">
        <v>896.95</v>
      </c>
      <c r="Q48" s="10">
        <v>801.52</v>
      </c>
      <c r="R48" s="10">
        <v>274.3</v>
      </c>
      <c r="S48" s="10">
        <v>165.13</v>
      </c>
      <c r="T48" s="10">
        <v>319.97</v>
      </c>
      <c r="U48" s="10">
        <v>479.52</v>
      </c>
      <c r="V48" s="41">
        <v>482.12</v>
      </c>
      <c r="W48" s="10">
        <v>461.75</v>
      </c>
    </row>
    <row r="49">
      <c r="A49" s="42" t="s">
        <v>130</v>
      </c>
      <c r="B49" s="43">
        <v>1184.39</v>
      </c>
      <c r="C49" s="43">
        <v>1308.12</v>
      </c>
      <c r="D49" s="43">
        <v>1446.92</v>
      </c>
      <c r="E49" s="43">
        <v>1603.21</v>
      </c>
      <c r="F49" s="43">
        <v>1808.27</v>
      </c>
      <c r="G49" s="43">
        <v>1568.66</v>
      </c>
      <c r="H49" s="43">
        <v>1633.85</v>
      </c>
      <c r="I49" s="43">
        <v>2035.79</v>
      </c>
      <c r="J49" s="43">
        <v>2313.89</v>
      </c>
      <c r="K49" s="43">
        <v>2512.02</v>
      </c>
      <c r="L49" s="43">
        <v>2681.1</v>
      </c>
      <c r="M49" s="43">
        <v>923.21</v>
      </c>
      <c r="N49" s="43">
        <v>985.34</v>
      </c>
      <c r="O49" s="43">
        <v>1044.36</v>
      </c>
      <c r="P49" s="43">
        <v>1123.36</v>
      </c>
      <c r="Q49" s="43">
        <v>1214.27</v>
      </c>
      <c r="R49" s="43">
        <v>989.32</v>
      </c>
      <c r="S49" s="43">
        <v>953.22</v>
      </c>
      <c r="T49" s="43">
        <v>1113.88</v>
      </c>
      <c r="U49" s="43">
        <v>1197.64</v>
      </c>
      <c r="V49" s="44">
        <v>1275.41</v>
      </c>
      <c r="W49" s="31">
        <v>1358.51</v>
      </c>
    </row>
    <row r="50">
      <c r="A50" s="45" t="s">
        <v>133</v>
      </c>
      <c r="B50" s="46">
        <v>10383.4</v>
      </c>
      <c r="C50" s="46">
        <v>11255.1</v>
      </c>
      <c r="D50" s="46">
        <v>12304.1</v>
      </c>
      <c r="E50" s="46">
        <v>13273.49</v>
      </c>
      <c r="F50" s="46">
        <v>14631.66</v>
      </c>
      <c r="G50" s="46">
        <v>12236.42</v>
      </c>
      <c r="H50" s="46">
        <v>13637.22</v>
      </c>
      <c r="I50" s="46">
        <v>16374.44</v>
      </c>
      <c r="J50" s="46">
        <v>18396.95</v>
      </c>
      <c r="K50" s="46">
        <v>20485.6</v>
      </c>
      <c r="L50" s="46">
        <v>22713.47</v>
      </c>
      <c r="M50" s="46">
        <v>7842.14</v>
      </c>
      <c r="N50" s="46">
        <v>8274.5</v>
      </c>
      <c r="O50" s="46">
        <v>8788.71</v>
      </c>
      <c r="P50" s="46">
        <v>9383.6</v>
      </c>
      <c r="Q50" s="46">
        <v>10217.18</v>
      </c>
      <c r="R50" s="46">
        <v>8494.21</v>
      </c>
      <c r="S50" s="46">
        <v>9130.59</v>
      </c>
      <c r="T50" s="46">
        <v>10259.81</v>
      </c>
      <c r="U50" s="46">
        <v>11158.46</v>
      </c>
      <c r="V50" s="46">
        <v>12102.32</v>
      </c>
      <c r="W50" s="47">
        <v>12899.6</v>
      </c>
    </row>
    <row r="51">
      <c r="A51" s="49" t="s">
        <v>134</v>
      </c>
      <c r="B51" s="49">
        <v>2050.49</v>
      </c>
      <c r="C51" s="49">
        <v>2274.0</v>
      </c>
      <c r="D51" s="49">
        <v>2596.09</v>
      </c>
      <c r="E51" s="49">
        <v>2952.31</v>
      </c>
      <c r="F51" s="49">
        <v>3561.27</v>
      </c>
      <c r="G51" s="49">
        <v>1859.34</v>
      </c>
      <c r="H51" s="49">
        <v>1658.32</v>
      </c>
      <c r="I51" s="49">
        <v>2565.89</v>
      </c>
      <c r="J51" s="49">
        <v>3254.95</v>
      </c>
      <c r="K51" s="49">
        <v>3621.88</v>
      </c>
      <c r="L51" s="49">
        <v>3716.32</v>
      </c>
      <c r="M51" s="49">
        <v>1450.44</v>
      </c>
      <c r="N51" s="49">
        <v>1568.77</v>
      </c>
      <c r="O51" s="49">
        <v>1743.4</v>
      </c>
      <c r="P51" s="49">
        <v>1971.04</v>
      </c>
      <c r="Q51" s="49">
        <v>2342.2</v>
      </c>
      <c r="R51" s="49">
        <v>1221.64</v>
      </c>
      <c r="S51" s="49">
        <v>1069.51</v>
      </c>
      <c r="T51" s="49">
        <v>1542.68</v>
      </c>
      <c r="U51" s="49">
        <v>1863.29</v>
      </c>
      <c r="V51" s="49">
        <v>2036.74</v>
      </c>
      <c r="W51" s="49">
        <v>2034.75</v>
      </c>
    </row>
    <row r="52">
      <c r="A52" s="31" t="s">
        <v>137</v>
      </c>
      <c r="B52" s="31">
        <v>8332.91</v>
      </c>
      <c r="C52" s="31">
        <v>8981.1</v>
      </c>
      <c r="D52" s="31">
        <v>9708.01</v>
      </c>
      <c r="E52" s="31">
        <v>10321.18</v>
      </c>
      <c r="F52" s="31">
        <v>11070.4</v>
      </c>
      <c r="G52" s="31">
        <v>10377.08</v>
      </c>
      <c r="H52" s="31">
        <v>11978.9</v>
      </c>
      <c r="I52" s="31">
        <v>13808.55</v>
      </c>
      <c r="J52" s="31">
        <v>15142.0</v>
      </c>
      <c r="K52" s="31">
        <v>16863.72</v>
      </c>
      <c r="L52" s="31">
        <v>18997.15</v>
      </c>
      <c r="M52" s="31">
        <v>6391.71</v>
      </c>
      <c r="N52" s="31">
        <v>6705.73</v>
      </c>
      <c r="O52" s="31">
        <v>7045.31</v>
      </c>
      <c r="P52" s="31">
        <v>7412.56</v>
      </c>
      <c r="Q52" s="31">
        <v>7874.98</v>
      </c>
      <c r="R52" s="31">
        <v>7272.56</v>
      </c>
      <c r="S52" s="31">
        <v>8061.08</v>
      </c>
      <c r="T52" s="31">
        <v>8717.14</v>
      </c>
      <c r="U52" s="31">
        <v>9295.17</v>
      </c>
      <c r="V52" s="31">
        <v>10065.58</v>
      </c>
      <c r="W52" s="31">
        <v>10864.85</v>
      </c>
    </row>
    <row r="53">
      <c r="A53" s="51" t="s">
        <v>140</v>
      </c>
      <c r="B53" s="52">
        <v>8244.24</v>
      </c>
      <c r="C53" s="52">
        <v>8957.49</v>
      </c>
      <c r="D53" s="52">
        <v>9785.91</v>
      </c>
      <c r="E53" s="52">
        <v>10523.89</v>
      </c>
      <c r="F53" s="52">
        <v>11262.73</v>
      </c>
      <c r="G53" s="52">
        <v>13432.25</v>
      </c>
      <c r="H53" s="52">
        <v>16015.67</v>
      </c>
      <c r="I53" s="52">
        <v>17073.16</v>
      </c>
      <c r="J53" s="52">
        <v>18179.07</v>
      </c>
      <c r="K53" s="52">
        <v>18972.18</v>
      </c>
      <c r="L53" s="52">
        <v>20056.23</v>
      </c>
      <c r="M53" s="52">
        <v>8891.14</v>
      </c>
      <c r="N53" s="52">
        <v>9630.64</v>
      </c>
      <c r="O53" s="52">
        <v>10222.38</v>
      </c>
      <c r="P53" s="52">
        <v>10884.53</v>
      </c>
      <c r="Q53" s="52">
        <v>11694.99</v>
      </c>
      <c r="R53" s="52">
        <v>13994.34</v>
      </c>
      <c r="S53" s="52">
        <v>16329.8</v>
      </c>
      <c r="T53" s="52">
        <v>16907.39</v>
      </c>
      <c r="U53" s="52">
        <v>17698.5</v>
      </c>
      <c r="V53" s="52">
        <v>18436.59</v>
      </c>
      <c r="W53" s="53">
        <v>19195.07</v>
      </c>
    </row>
    <row r="54">
      <c r="A54" s="49" t="s">
        <v>143</v>
      </c>
      <c r="B54" s="49">
        <v>4022.44</v>
      </c>
      <c r="C54" s="49">
        <v>4334.78</v>
      </c>
      <c r="D54" s="49">
        <v>4642.31</v>
      </c>
      <c r="E54" s="49">
        <v>5106.47</v>
      </c>
      <c r="F54" s="49">
        <v>5644.45</v>
      </c>
      <c r="G54" s="49">
        <v>5579.98</v>
      </c>
      <c r="H54" s="49">
        <v>5954.92</v>
      </c>
      <c r="I54" s="49">
        <v>6830.31</v>
      </c>
      <c r="J54" s="49">
        <v>7678.61</v>
      </c>
      <c r="K54" s="49">
        <v>8250.02</v>
      </c>
      <c r="L54" s="49">
        <v>8561.35</v>
      </c>
      <c r="M54" s="49">
        <v>3060.73</v>
      </c>
      <c r="N54" s="49">
        <v>3213.48</v>
      </c>
      <c r="O54" s="49">
        <v>3303.8</v>
      </c>
      <c r="P54" s="49">
        <v>3506.59</v>
      </c>
      <c r="Q54" s="49">
        <v>3804.31</v>
      </c>
      <c r="R54" s="49">
        <v>3763.92</v>
      </c>
      <c r="S54" s="49">
        <v>3818.58</v>
      </c>
      <c r="T54" s="49">
        <v>4018.73</v>
      </c>
      <c r="U54" s="49">
        <v>4432.25</v>
      </c>
      <c r="V54" s="49">
        <v>4721.39</v>
      </c>
      <c r="W54" s="49">
        <v>4794.84</v>
      </c>
    </row>
    <row r="55">
      <c r="A55" s="10" t="s">
        <v>145</v>
      </c>
      <c r="B55" s="10">
        <v>3052.52</v>
      </c>
      <c r="C55" s="10">
        <v>3273.04</v>
      </c>
      <c r="D55" s="10">
        <v>3474.38</v>
      </c>
      <c r="E55" s="10">
        <v>3842.64</v>
      </c>
      <c r="F55" s="10">
        <v>4244.91</v>
      </c>
      <c r="G55" s="10">
        <v>4038.71</v>
      </c>
      <c r="H55" s="10">
        <v>4392.64</v>
      </c>
      <c r="I55" s="10">
        <v>5143.93</v>
      </c>
      <c r="J55" s="10">
        <v>5902.5</v>
      </c>
      <c r="K55" s="10">
        <v>6427.4</v>
      </c>
      <c r="L55" s="10">
        <v>6633.97</v>
      </c>
      <c r="M55" s="10">
        <v>2273.37</v>
      </c>
      <c r="N55" s="10">
        <v>2378.62</v>
      </c>
      <c r="O55" s="10">
        <v>2420.78</v>
      </c>
      <c r="P55" s="10">
        <v>2577.28</v>
      </c>
      <c r="Q55" s="10">
        <v>2801.42</v>
      </c>
      <c r="R55" s="10">
        <v>2681.67</v>
      </c>
      <c r="S55" s="10">
        <v>2757.29</v>
      </c>
      <c r="T55" s="10">
        <v>2929.97</v>
      </c>
      <c r="U55" s="10">
        <v>3308.0</v>
      </c>
      <c r="V55" s="10">
        <v>3570.98</v>
      </c>
      <c r="W55" s="10">
        <v>3604.64</v>
      </c>
    </row>
    <row r="56">
      <c r="A56" s="31" t="s">
        <v>146</v>
      </c>
      <c r="B56" s="31">
        <v>305.49</v>
      </c>
      <c r="C56" s="31">
        <v>329.51</v>
      </c>
      <c r="D56" s="31">
        <v>359.08</v>
      </c>
      <c r="E56" s="31">
        <v>382.79</v>
      </c>
      <c r="F56" s="31">
        <v>411.51</v>
      </c>
      <c r="G56" s="31">
        <v>432.17</v>
      </c>
      <c r="H56" s="31">
        <v>444.41</v>
      </c>
      <c r="I56" s="31">
        <v>465.76</v>
      </c>
      <c r="J56" s="31">
        <v>477.31</v>
      </c>
      <c r="K56" s="31">
        <v>489.68</v>
      </c>
      <c r="L56" s="31">
        <v>514.24</v>
      </c>
      <c r="M56" s="31">
        <v>247.2</v>
      </c>
      <c r="N56" s="31">
        <v>258.52</v>
      </c>
      <c r="O56" s="31">
        <v>271.2</v>
      </c>
      <c r="P56" s="31">
        <v>281.16</v>
      </c>
      <c r="Q56" s="31">
        <v>294.92</v>
      </c>
      <c r="R56" s="31">
        <v>305.63</v>
      </c>
      <c r="S56" s="31">
        <v>304.03</v>
      </c>
      <c r="T56" s="31">
        <v>301.89</v>
      </c>
      <c r="U56" s="31">
        <v>299.44</v>
      </c>
      <c r="V56" s="31">
        <v>304.84</v>
      </c>
      <c r="W56" s="31">
        <v>314.1</v>
      </c>
    </row>
    <row r="57">
      <c r="A57" s="60" t="s">
        <v>148</v>
      </c>
      <c r="B57" s="61">
        <v>656.55</v>
      </c>
      <c r="C57" s="61">
        <v>723.82</v>
      </c>
      <c r="D57" s="61">
        <v>799.59</v>
      </c>
      <c r="E57" s="61">
        <v>871.44</v>
      </c>
      <c r="F57" s="61">
        <v>977.44</v>
      </c>
      <c r="G57" s="61">
        <v>1102.85</v>
      </c>
      <c r="H57" s="61">
        <v>1113.35</v>
      </c>
      <c r="I57" s="61">
        <v>1215.79</v>
      </c>
      <c r="J57" s="61">
        <v>1293.6</v>
      </c>
      <c r="K57" s="61">
        <v>1327.53</v>
      </c>
      <c r="L57" s="61">
        <v>1407.53</v>
      </c>
      <c r="M57" s="61">
        <v>533.92</v>
      </c>
      <c r="N57" s="61">
        <v>569.91</v>
      </c>
      <c r="O57" s="61">
        <v>605.1</v>
      </c>
      <c r="P57" s="61">
        <v>641.23</v>
      </c>
      <c r="Q57" s="61">
        <v>700.53</v>
      </c>
      <c r="R57" s="61">
        <v>772.29</v>
      </c>
      <c r="S57" s="61">
        <v>754.3</v>
      </c>
      <c r="T57" s="61">
        <v>783.81</v>
      </c>
      <c r="U57" s="61">
        <v>821.63</v>
      </c>
      <c r="V57" s="61">
        <v>842.22</v>
      </c>
      <c r="W57" s="62">
        <v>872.7</v>
      </c>
    </row>
    <row r="58">
      <c r="A58" s="43" t="s">
        <v>151</v>
      </c>
      <c r="B58" s="43">
        <v>7.87</v>
      </c>
      <c r="C58" s="43">
        <v>8.4</v>
      </c>
      <c r="D58" s="43">
        <v>9.26</v>
      </c>
      <c r="E58" s="43">
        <v>9.6</v>
      </c>
      <c r="F58" s="43">
        <v>10.59</v>
      </c>
      <c r="G58" s="43">
        <v>6.25</v>
      </c>
      <c r="H58" s="43">
        <v>4.51</v>
      </c>
      <c r="I58" s="43">
        <v>4.84</v>
      </c>
      <c r="J58" s="43">
        <v>5.19</v>
      </c>
      <c r="K58" s="43">
        <v>5.41</v>
      </c>
      <c r="L58" s="43">
        <v>5.63</v>
      </c>
      <c r="M58" s="43">
        <v>6.24</v>
      </c>
      <c r="N58" s="43">
        <v>6.44</v>
      </c>
      <c r="O58" s="43">
        <v>6.71</v>
      </c>
      <c r="P58" s="43">
        <v>6.91</v>
      </c>
      <c r="Q58" s="43">
        <v>7.44</v>
      </c>
      <c r="R58" s="43">
        <v>4.32</v>
      </c>
      <c r="S58" s="43">
        <v>2.97</v>
      </c>
      <c r="T58" s="43">
        <v>3.06</v>
      </c>
      <c r="U58" s="43">
        <v>3.18</v>
      </c>
      <c r="V58" s="43">
        <v>3.34</v>
      </c>
      <c r="W58" s="43">
        <v>3.41</v>
      </c>
    </row>
    <row r="59">
      <c r="A59" s="63" t="s">
        <v>153</v>
      </c>
      <c r="B59" s="64">
        <v>7116.82</v>
      </c>
      <c r="C59" s="64">
        <v>7800.51</v>
      </c>
      <c r="D59" s="64">
        <v>8368.92</v>
      </c>
      <c r="E59" s="64">
        <v>9022.61</v>
      </c>
      <c r="F59" s="64">
        <v>9871.07</v>
      </c>
      <c r="G59" s="64">
        <v>10197.7</v>
      </c>
      <c r="H59" s="64">
        <v>10475.62</v>
      </c>
      <c r="I59" s="64">
        <v>11195.83</v>
      </c>
      <c r="J59" s="64">
        <v>11930.69</v>
      </c>
      <c r="K59" s="64">
        <v>12540.58</v>
      </c>
      <c r="L59" s="64">
        <v>13482.51</v>
      </c>
      <c r="M59" s="64">
        <v>6082.49</v>
      </c>
      <c r="N59" s="64">
        <v>6394.25</v>
      </c>
      <c r="O59" s="64">
        <v>6708.24</v>
      </c>
      <c r="P59" s="64">
        <v>7079.84</v>
      </c>
      <c r="Q59" s="64">
        <v>7499.63</v>
      </c>
      <c r="R59" s="64">
        <v>7594.53</v>
      </c>
      <c r="S59" s="64">
        <v>7634.2</v>
      </c>
      <c r="T59" s="64">
        <v>7864.69</v>
      </c>
      <c r="U59" s="64">
        <v>8155.53</v>
      </c>
      <c r="V59" s="64">
        <v>8487.82</v>
      </c>
      <c r="W59" s="65">
        <v>8831.62</v>
      </c>
    </row>
    <row r="60">
      <c r="A60" s="66" t="s">
        <v>158</v>
      </c>
      <c r="B60" s="67">
        <v>1048.36</v>
      </c>
      <c r="C60" s="67">
        <v>1115.85</v>
      </c>
      <c r="D60" s="67">
        <v>1209.4</v>
      </c>
      <c r="E60" s="67">
        <v>1309.15</v>
      </c>
      <c r="F60" s="67">
        <v>1437.5</v>
      </c>
      <c r="G60" s="67">
        <v>1246.91</v>
      </c>
      <c r="H60" s="67">
        <v>1379.63</v>
      </c>
      <c r="I60" s="67">
        <v>1548.81</v>
      </c>
      <c r="J60" s="67">
        <v>1743.87</v>
      </c>
      <c r="K60" s="67">
        <v>1869.38</v>
      </c>
      <c r="L60" s="67">
        <v>1993.81</v>
      </c>
      <c r="M60" s="67">
        <v>991.56</v>
      </c>
      <c r="N60" s="67">
        <v>1026.16</v>
      </c>
      <c r="O60" s="67">
        <v>1086.91</v>
      </c>
      <c r="P60" s="67">
        <v>1146.81</v>
      </c>
      <c r="Q60" s="67">
        <v>1224.24</v>
      </c>
      <c r="R60" s="67">
        <v>1041.99</v>
      </c>
      <c r="S60" s="67">
        <v>1126.3</v>
      </c>
      <c r="T60" s="67">
        <v>1206.95</v>
      </c>
      <c r="U60" s="67">
        <v>1306.87</v>
      </c>
      <c r="V60" s="67">
        <v>1376.82</v>
      </c>
      <c r="W60" s="68">
        <v>1441.25</v>
      </c>
    </row>
    <row r="61">
      <c r="A61" s="43" t="s">
        <v>159</v>
      </c>
      <c r="B61" s="43">
        <v>8379.23</v>
      </c>
      <c r="C61" s="43">
        <v>9217.11</v>
      </c>
      <c r="D61" s="43">
        <v>10213.35</v>
      </c>
      <c r="E61" s="43">
        <v>10938.67</v>
      </c>
      <c r="F61" s="43">
        <v>11556.33</v>
      </c>
      <c r="G61" s="43">
        <v>11679.91</v>
      </c>
      <c r="H61" s="43">
        <v>12056.1</v>
      </c>
      <c r="I61" s="43">
        <v>12932.98</v>
      </c>
      <c r="J61" s="43">
        <v>13504.49</v>
      </c>
      <c r="K61" s="43">
        <v>14566.73</v>
      </c>
      <c r="L61" s="43">
        <v>15291.5</v>
      </c>
      <c r="M61" s="43">
        <v>6304.91</v>
      </c>
      <c r="N61" s="43">
        <v>6656.18</v>
      </c>
      <c r="O61" s="43">
        <v>6956.54</v>
      </c>
      <c r="P61" s="43">
        <v>7239.15</v>
      </c>
      <c r="Q61" s="43">
        <v>7477.92</v>
      </c>
      <c r="R61" s="43">
        <v>7310.59</v>
      </c>
      <c r="S61" s="43">
        <v>7282.36</v>
      </c>
      <c r="T61" s="43">
        <v>7497.26</v>
      </c>
      <c r="U61" s="43">
        <v>7680.43</v>
      </c>
      <c r="V61" s="43">
        <v>8189.85</v>
      </c>
      <c r="W61" s="43">
        <v>8691.93</v>
      </c>
    </row>
    <row r="62">
      <c r="A62" s="69" t="s">
        <v>164</v>
      </c>
      <c r="B62" s="70">
        <v>8598.74</v>
      </c>
      <c r="C62" s="70">
        <v>9010.14</v>
      </c>
      <c r="D62" s="70">
        <v>9697.4</v>
      </c>
      <c r="E62" s="70">
        <v>10505.81</v>
      </c>
      <c r="F62" s="70">
        <v>11471.13</v>
      </c>
      <c r="G62" s="70">
        <v>12245.54</v>
      </c>
      <c r="H62" s="70">
        <v>13234.22</v>
      </c>
      <c r="I62" s="70">
        <v>13913.75</v>
      </c>
      <c r="J62" s="70">
        <v>15165.5</v>
      </c>
      <c r="K62" s="70">
        <v>16071.64</v>
      </c>
      <c r="L62" s="70">
        <v>17051.0</v>
      </c>
      <c r="M62" s="70">
        <v>7444.28</v>
      </c>
      <c r="N62" s="70">
        <v>7672.85</v>
      </c>
      <c r="O62" s="70">
        <v>8096.35</v>
      </c>
      <c r="P62" s="70">
        <v>8583.07</v>
      </c>
      <c r="Q62" s="70">
        <v>9146.78</v>
      </c>
      <c r="R62" s="70">
        <v>9555.5</v>
      </c>
      <c r="S62" s="70">
        <v>10033.09</v>
      </c>
      <c r="T62" s="70">
        <v>10131.25</v>
      </c>
      <c r="U62" s="70">
        <v>10575.42</v>
      </c>
      <c r="V62" s="70">
        <v>11071.37</v>
      </c>
      <c r="W62" s="71">
        <v>11678.27</v>
      </c>
    </row>
    <row r="63">
      <c r="A63" s="73" t="s">
        <v>167</v>
      </c>
      <c r="B63" s="74">
        <v>2553.55</v>
      </c>
      <c r="C63" s="74">
        <v>2759.86</v>
      </c>
      <c r="D63" s="74">
        <v>3003.72</v>
      </c>
      <c r="E63" s="74">
        <v>3220.94</v>
      </c>
      <c r="F63" s="74">
        <v>3518.72</v>
      </c>
      <c r="G63" s="74">
        <v>4374.82</v>
      </c>
      <c r="H63" s="74">
        <v>4729.13</v>
      </c>
      <c r="I63" s="74">
        <v>5131.07</v>
      </c>
      <c r="J63" s="74">
        <v>5789.17</v>
      </c>
      <c r="K63" s="74">
        <v>6252.13</v>
      </c>
      <c r="L63" s="74">
        <v>6789.31</v>
      </c>
      <c r="M63" s="74">
        <v>2210.41</v>
      </c>
      <c r="N63" s="74">
        <v>2310.36</v>
      </c>
      <c r="O63" s="74">
        <v>2445.24</v>
      </c>
      <c r="P63" s="74">
        <v>2593.23</v>
      </c>
      <c r="Q63" s="74">
        <v>2764.57</v>
      </c>
      <c r="R63" s="74">
        <v>3294.8</v>
      </c>
      <c r="S63" s="74">
        <v>3442.2</v>
      </c>
      <c r="T63" s="74">
        <v>3579.58</v>
      </c>
      <c r="U63" s="74">
        <v>3805.74</v>
      </c>
      <c r="V63" s="74">
        <v>4008.28</v>
      </c>
      <c r="W63" s="75">
        <v>4299.31</v>
      </c>
    </row>
    <row r="64">
      <c r="A64" s="76" t="s">
        <v>170</v>
      </c>
      <c r="B64" s="77">
        <v>2589.17</v>
      </c>
      <c r="C64" s="77">
        <v>2824.99</v>
      </c>
      <c r="D64" s="77">
        <v>3109.03</v>
      </c>
      <c r="E64" s="77">
        <v>3373.74</v>
      </c>
      <c r="F64" s="77">
        <v>3655.44</v>
      </c>
      <c r="G64" s="77">
        <v>3130.5</v>
      </c>
      <c r="H64" s="77">
        <v>3892.29</v>
      </c>
      <c r="I64" s="77">
        <v>4721.76</v>
      </c>
      <c r="J64" s="77">
        <v>5290.76</v>
      </c>
      <c r="K64" s="77">
        <v>5542.69</v>
      </c>
      <c r="L64" s="77">
        <v>6186.01</v>
      </c>
      <c r="M64" s="77">
        <v>2288.95</v>
      </c>
      <c r="N64" s="77">
        <v>2419.53</v>
      </c>
      <c r="O64" s="77">
        <v>2558.88</v>
      </c>
      <c r="P64" s="77">
        <v>2717.39</v>
      </c>
      <c r="Q64" s="77">
        <v>2887.2</v>
      </c>
      <c r="R64" s="77">
        <v>2432.62</v>
      </c>
      <c r="S64" s="77">
        <v>2966.6</v>
      </c>
      <c r="T64" s="77">
        <v>3412.77</v>
      </c>
      <c r="U64" s="77">
        <v>3650.74</v>
      </c>
      <c r="V64" s="77">
        <v>3771.49</v>
      </c>
      <c r="W64" s="78">
        <v>4048.02</v>
      </c>
    </row>
    <row r="65">
      <c r="A65" s="49" t="s">
        <v>172</v>
      </c>
      <c r="B65" s="49">
        <v>101440.52</v>
      </c>
      <c r="C65" s="49">
        <v>109962.35</v>
      </c>
      <c r="D65" s="49">
        <v>119128.72</v>
      </c>
      <c r="E65" s="49">
        <v>129818.36</v>
      </c>
      <c r="F65" s="49">
        <v>141047.69</v>
      </c>
      <c r="G65" s="49">
        <v>138117.84</v>
      </c>
      <c r="H65" s="49">
        <v>149413.65</v>
      </c>
      <c r="I65" s="49">
        <v>165724.53</v>
      </c>
      <c r="J65" s="49">
        <v>180696.04</v>
      </c>
      <c r="K65" s="49">
        <v>193514.56</v>
      </c>
      <c r="L65" s="49">
        <v>208133.8</v>
      </c>
      <c r="M65" s="49">
        <v>83474.45</v>
      </c>
      <c r="N65" s="49">
        <v>87685.81</v>
      </c>
      <c r="O65" s="49">
        <v>92300.24</v>
      </c>
      <c r="P65" s="49">
        <v>98024.01</v>
      </c>
      <c r="Q65" s="49">
        <v>104485.46</v>
      </c>
      <c r="R65" s="49">
        <v>101698.52</v>
      </c>
      <c r="S65" s="49">
        <v>107372.56</v>
      </c>
      <c r="T65" s="49">
        <v>112901.32</v>
      </c>
      <c r="U65" s="49">
        <v>118625.54</v>
      </c>
      <c r="V65" s="49">
        <v>124590.45</v>
      </c>
      <c r="W65" s="49">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88" t="s">
        <v>259</v>
      </c>
    </row>
    <row r="2">
      <c r="A2" s="89" t="s">
        <v>261</v>
      </c>
      <c r="E2" s="90">
        <f>('Data Tahunan'!H2/'Data Tahunan'!E2)^(1/3) - 1</f>
        <v>0.07631143037</v>
      </c>
      <c r="F2" s="91" t="s">
        <v>263</v>
      </c>
    </row>
    <row r="4">
      <c r="A4" s="92" t="s">
        <v>265</v>
      </c>
    </row>
    <row r="5">
      <c r="A5" s="89" t="s">
        <v>267</v>
      </c>
      <c r="E5" s="90">
        <f>('Data Tahunan'!O2/'Data Tahunan'!K2)^(1/4) - 1</f>
        <v>0.155229669</v>
      </c>
      <c r="F5" s="91" t="s">
        <v>269</v>
      </c>
    </row>
    <row r="7">
      <c r="A7" s="94" t="s">
        <v>270</v>
      </c>
    </row>
    <row r="8">
      <c r="A8" s="95" t="s">
        <v>271</v>
      </c>
      <c r="E8" s="90">
        <f>(E2+E5)/2</f>
        <v>0.1157705497</v>
      </c>
      <c r="F8" s="91" t="s">
        <v>273</v>
      </c>
    </row>
    <row r="10">
      <c r="A10" s="88" t="s">
        <v>274</v>
      </c>
    </row>
    <row r="11">
      <c r="A11" s="89" t="s">
        <v>275</v>
      </c>
      <c r="E11" s="90">
        <f>'Data Tahunan'!I2/'Data Tahunan'!H2</f>
        <v>2.565988396</v>
      </c>
      <c r="F11" s="91">
        <v>2.566</v>
      </c>
    </row>
    <row r="13">
      <c r="A13" s="94" t="s">
        <v>278</v>
      </c>
    </row>
    <row r="14">
      <c r="A14" s="95" t="s">
        <v>280</v>
      </c>
      <c r="E14" s="90">
        <f>E11/(1+E8)</f>
        <v>2.299745586</v>
      </c>
      <c r="F14" s="91">
        <v>2.2997</v>
      </c>
    </row>
    <row r="15">
      <c r="A15" s="96"/>
    </row>
    <row r="16">
      <c r="A16" s="88" t="s">
        <v>281</v>
      </c>
    </row>
    <row r="17">
      <c r="A17" s="97"/>
      <c r="B17" s="97"/>
      <c r="C17" s="97"/>
    </row>
    <row r="18" ht="22.5" customHeight="1">
      <c r="A18" s="9" t="s">
        <v>282</v>
      </c>
      <c r="B18" s="9" t="s">
        <v>284</v>
      </c>
      <c r="C18" s="9" t="s">
        <v>285</v>
      </c>
      <c r="E18" s="97" t="s">
        <v>287</v>
      </c>
    </row>
    <row r="19" ht="22.5" customHeight="1">
      <c r="A19" s="98">
        <v>2015.0</v>
      </c>
      <c r="B19" s="99">
        <f>'Data Tahunan'!E2</f>
        <v>6413735</v>
      </c>
      <c r="C19" s="99">
        <f t="shared" ref="C19:C22" si="1">B19*$E$14</f>
        <v>14749958.75</v>
      </c>
      <c r="E19" s="97" t="s">
        <v>290</v>
      </c>
    </row>
    <row r="20" ht="22.5" customHeight="1">
      <c r="A20" s="98">
        <v>2016.0</v>
      </c>
      <c r="B20" s="99">
        <f>'Data Tahunan'!F2</f>
        <v>6551294</v>
      </c>
      <c r="C20" s="99">
        <f t="shared" si="1"/>
        <v>15066309.46</v>
      </c>
      <c r="E20" s="97" t="s">
        <v>294</v>
      </c>
    </row>
    <row r="21" ht="22.5" customHeight="1">
      <c r="A21" s="98">
        <v>2017.0</v>
      </c>
      <c r="B21" s="99">
        <f>'Data Tahunan'!G2</f>
        <v>6644412</v>
      </c>
      <c r="C21" s="99">
        <f t="shared" si="1"/>
        <v>15280457.17</v>
      </c>
      <c r="E21" s="97" t="s">
        <v>296</v>
      </c>
    </row>
    <row r="22" ht="22.5" customHeight="1">
      <c r="A22" s="98">
        <v>2018.0</v>
      </c>
      <c r="B22" s="99">
        <f>'Data Tahunan'!H2</f>
        <v>7996959</v>
      </c>
      <c r="C22" s="99">
        <f t="shared" si="1"/>
        <v>18390971.16</v>
      </c>
    </row>
    <row r="23" ht="22.5" customHeight="1">
      <c r="A23" s="21">
        <v>2019.0</v>
      </c>
      <c r="B23" s="84">
        <f>'Data Tahunan'!I2</f>
        <v>20520104</v>
      </c>
    </row>
    <row r="24" ht="22.5" customHeight="1">
      <c r="A24" s="21">
        <v>2020.0</v>
      </c>
      <c r="B24" s="84">
        <f>'Data Tahunan'!J2</f>
        <v>19610135</v>
      </c>
    </row>
    <row r="25" ht="22.5" customHeight="1">
      <c r="A25" s="21">
        <v>2021.0</v>
      </c>
      <c r="B25" s="84">
        <f>'Data Tahunan'!K2</f>
        <v>22849394.5</v>
      </c>
    </row>
    <row r="26" ht="22.5" customHeight="1">
      <c r="A26" s="21">
        <v>2022.0</v>
      </c>
      <c r="B26" s="84">
        <f>'Data Tahunan'!L2</f>
        <v>25755726</v>
      </c>
    </row>
    <row r="27" ht="22.5" customHeight="1">
      <c r="A27" s="21">
        <v>2023.0</v>
      </c>
      <c r="B27" s="84">
        <f>'Data Tahunan'!M2</f>
        <v>30542580</v>
      </c>
    </row>
    <row r="28" ht="22.5" customHeight="1">
      <c r="A28" s="21">
        <v>2024.0</v>
      </c>
      <c r="B28" s="84">
        <f>'Data Tahunan'!N2</f>
        <v>38134536</v>
      </c>
    </row>
    <row r="29" ht="22.5" customHeight="1">
      <c r="A29" s="21">
        <v>2025.0</v>
      </c>
      <c r="B29" s="84">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5" t="s">
        <v>282</v>
      </c>
      <c r="B1" s="15" t="s">
        <v>38</v>
      </c>
      <c r="C1" s="15" t="s">
        <v>54</v>
      </c>
      <c r="D1" s="15" t="s">
        <v>63</v>
      </c>
      <c r="E1" s="15" t="s">
        <v>68</v>
      </c>
      <c r="F1" s="15" t="s">
        <v>80</v>
      </c>
      <c r="G1" s="15" t="s">
        <v>147</v>
      </c>
      <c r="H1" s="15" t="s">
        <v>349</v>
      </c>
      <c r="I1" s="15" t="s">
        <v>155</v>
      </c>
      <c r="J1" s="15" t="s">
        <v>132</v>
      </c>
    </row>
    <row r="2" ht="22.5" customHeight="1">
      <c r="A2" s="82">
        <v>2016.0</v>
      </c>
      <c r="B2" s="108">
        <f>'Perhitungan faktor sambung'!C20</f>
        <v>15066309.46</v>
      </c>
      <c r="C2" s="84">
        <v>1170.0</v>
      </c>
      <c r="D2" s="30">
        <v>158.0</v>
      </c>
      <c r="E2" s="30">
        <v>263878.0</v>
      </c>
      <c r="F2" s="30">
        <v>44561.0784555117</v>
      </c>
      <c r="G2" s="30">
        <v>37.72</v>
      </c>
      <c r="H2" s="110">
        <v>10694.03</v>
      </c>
      <c r="I2" s="110">
        <v>373.8424</v>
      </c>
      <c r="J2" s="110">
        <v>6097324.0</v>
      </c>
    </row>
    <row r="3" ht="22.5" customHeight="1">
      <c r="A3" s="82">
        <v>2017.0</v>
      </c>
      <c r="B3" s="108">
        <f>'Perhitungan faktor sambung'!C21</f>
        <v>15280457.17</v>
      </c>
      <c r="C3" s="84">
        <v>1179.0</v>
      </c>
      <c r="D3" s="30">
        <v>171.0</v>
      </c>
      <c r="E3" s="24">
        <f>151687+121876</f>
        <v>273563</v>
      </c>
      <c r="F3" s="30">
        <v>50223.957001398</v>
      </c>
      <c r="G3" s="30">
        <v>45.08</v>
      </c>
      <c r="H3" s="109">
        <v>11347.59</v>
      </c>
      <c r="I3" s="111">
        <v>165.3915</v>
      </c>
      <c r="J3" s="111">
        <v>1.08999E7</v>
      </c>
    </row>
    <row r="4" ht="22.5" customHeight="1">
      <c r="A4" s="82">
        <v>2018.0</v>
      </c>
      <c r="B4" s="108">
        <f>'Perhitungan faktor sambung'!C22</f>
        <v>18390971.16</v>
      </c>
      <c r="C4" s="84">
        <v>1617.0</v>
      </c>
      <c r="D4" s="30">
        <v>177.0</v>
      </c>
      <c r="E4" s="24">
        <f>143309+211375</f>
        <v>354684</v>
      </c>
      <c r="F4" s="30">
        <v>56624.3602289948</v>
      </c>
      <c r="G4" s="30">
        <v>45.11</v>
      </c>
      <c r="H4" s="24">
        <v>12100.99</v>
      </c>
      <c r="I4" s="110">
        <v>568.3340999999999</v>
      </c>
      <c r="J4" s="110">
        <v>1.0293319E7</v>
      </c>
    </row>
    <row r="5" ht="22.5" customHeight="1">
      <c r="A5" s="82">
        <v>2019.0</v>
      </c>
      <c r="B5" s="108">
        <f>'Data Tahunan'!I2</f>
        <v>20520104</v>
      </c>
      <c r="C5" s="84">
        <v>1817.0</v>
      </c>
      <c r="D5" s="30">
        <v>189.0</v>
      </c>
      <c r="E5" s="24">
        <f>130357+204427</f>
        <v>334784</v>
      </c>
      <c r="F5" s="30">
        <v>63480.0442236269</v>
      </c>
      <c r="G5" s="30">
        <v>45.34</v>
      </c>
      <c r="H5" s="24">
        <v>13104.380000000001</v>
      </c>
      <c r="I5" s="110">
        <v>741.4483000000001</v>
      </c>
      <c r="J5" s="110">
        <v>1.3363923E7</v>
      </c>
    </row>
    <row r="6" ht="22.5" customHeight="1">
      <c r="A6" s="112">
        <v>2020.0</v>
      </c>
      <c r="B6" s="113">
        <f>'Data Tahunan'!J2</f>
        <v>19610135</v>
      </c>
      <c r="C6" s="113">
        <v>1848.0</v>
      </c>
      <c r="D6" s="114">
        <v>180.0</v>
      </c>
      <c r="E6" s="115">
        <f>138570+175270</f>
        <v>313840</v>
      </c>
      <c r="F6" s="114">
        <v>58962.0411105434</v>
      </c>
      <c r="G6" s="114">
        <v>28.9</v>
      </c>
      <c r="H6" s="115">
        <v>10926.829999999998</v>
      </c>
      <c r="I6" s="115">
        <v>489.69319999999993</v>
      </c>
      <c r="J6" s="115">
        <v>4753098.0</v>
      </c>
    </row>
    <row r="7" ht="22.5" customHeight="1">
      <c r="A7" s="112">
        <v>2021.0</v>
      </c>
      <c r="B7" s="113">
        <f>'Data Tahunan'!K2</f>
        <v>22849394.5</v>
      </c>
      <c r="C7" s="113">
        <v>1696.0</v>
      </c>
      <c r="D7" s="114">
        <v>170.0</v>
      </c>
      <c r="E7" s="115">
        <f>188484+122271</f>
        <v>310755</v>
      </c>
      <c r="F7" s="114">
        <v>59887.5260314565</v>
      </c>
      <c r="G7" s="114">
        <v>27.48</v>
      </c>
      <c r="H7" s="115">
        <v>12097.19</v>
      </c>
      <c r="I7" s="115">
        <v>848.8041999999998</v>
      </c>
      <c r="J7" s="115">
        <v>7379577.0</v>
      </c>
    </row>
    <row r="8" ht="22.5" customHeight="1">
      <c r="A8" s="82">
        <v>2022.0</v>
      </c>
      <c r="B8" s="108">
        <f>'Data Tahunan'!L2</f>
        <v>25755726</v>
      </c>
      <c r="C8" s="84">
        <v>1818.0</v>
      </c>
      <c r="D8" s="30">
        <v>183.0</v>
      </c>
      <c r="E8" s="84">
        <f>255614+139670</f>
        <v>395284</v>
      </c>
      <c r="F8" s="30">
        <v>57709.075808398</v>
      </c>
      <c r="G8" s="30">
        <v>44.99</v>
      </c>
      <c r="H8" s="24">
        <v>13672.58</v>
      </c>
      <c r="I8" s="110">
        <v>463.5886</v>
      </c>
      <c r="J8" s="110">
        <v>9267217.0</v>
      </c>
    </row>
    <row r="9" ht="22.5" customHeight="1">
      <c r="A9" s="82">
        <v>2023.0</v>
      </c>
      <c r="B9" s="108">
        <f>'Data Tahunan'!M2</f>
        <v>30542580</v>
      </c>
      <c r="C9" s="84">
        <v>1820.0</v>
      </c>
      <c r="D9" s="30">
        <v>201.0</v>
      </c>
      <c r="E9" s="85">
        <f>122273+237067</f>
        <v>359340</v>
      </c>
      <c r="F9" s="30">
        <v>75624.403529316</v>
      </c>
      <c r="G9" s="30">
        <v>44.77</v>
      </c>
      <c r="H9" s="24">
        <v>14809.199999999999</v>
      </c>
      <c r="I9" s="110">
        <v>1175.2552000000003</v>
      </c>
      <c r="J9" s="110">
        <v>1.1417702E7</v>
      </c>
    </row>
    <row r="10" ht="22.5" customHeight="1">
      <c r="A10" s="82">
        <v>2024.0</v>
      </c>
      <c r="B10" s="108">
        <f>'Data Tahunan'!N2</f>
        <v>38134536</v>
      </c>
      <c r="C10" s="84">
        <v>2000.0</v>
      </c>
      <c r="D10" s="30">
        <v>218.0</v>
      </c>
      <c r="E10" s="85">
        <f>227695+123251</f>
        <v>350946</v>
      </c>
      <c r="F10" s="30">
        <v>73511.574651116</v>
      </c>
      <c r="G10" s="30">
        <v>42.17</v>
      </c>
      <c r="H10" s="24">
        <v>15873.81</v>
      </c>
      <c r="I10" s="110">
        <v>712.2835</v>
      </c>
      <c r="J10" s="110">
        <v>1.150354E7</v>
      </c>
    </row>
    <row r="11" ht="22.5" customHeight="1">
      <c r="A11" s="82">
        <v>2025.0</v>
      </c>
      <c r="B11" s="108">
        <f>'Data Tahunan'!O2</f>
        <v>40695654</v>
      </c>
      <c r="C11" s="84">
        <v>2291.0</v>
      </c>
      <c r="D11" s="30">
        <v>201.0</v>
      </c>
      <c r="E11" s="85">
        <f>242091+122903</f>
        <v>364994</v>
      </c>
      <c r="F11" s="30">
        <v>55029.5352961885</v>
      </c>
      <c r="G11" s="30">
        <v>38.07</v>
      </c>
      <c r="H11" s="24">
        <v>16947.62</v>
      </c>
      <c r="I11" s="110">
        <v>1325.950398995</v>
      </c>
      <c r="J11" s="110">
        <v>1.1954114E7</v>
      </c>
    </row>
    <row r="13">
      <c r="A13" s="116" t="s">
        <v>368</v>
      </c>
      <c r="B13" s="116"/>
    </row>
    <row r="16">
      <c r="M16" s="117"/>
    </row>
  </sheetData>
  <drawing r:id="rId2"/>
  <legacyDrawing r:id="rId3"/>
  <tableParts count="1">
    <tablePart r:id="rId5"/>
  </tableParts>
</worksheet>
</file>