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4" sheetId="2" r:id="rId6"/>
    <sheet state="visible" name="Uji P4 Tanpa COVID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<sst xmlns="http://schemas.openxmlformats.org/spreadsheetml/2006/main" count="81" uniqueCount="45">
  <si>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</si>
  <si>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</si>
  <si>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</si>
  <si>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</si>
  <si>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</si>
  <si>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</si>
  <si>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</si>
  <si>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</si>
  <si>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</si>
  <si>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</si>
  <si>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Tahun Covid</t>
  </si>
  <si>
    <t>Lahan Terbangun (simulasi)</t>
  </si>
  <si>
    <t>Lahan Terbangun (data)</t>
  </si>
  <si>
    <t>Galat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</si>
  <si>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</si>
  <si>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</si>
  <si>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</si>
  <si>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</si>
  <si>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</si>
  <si>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</si>
  <si>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</si>
  <si>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</si>
  <si>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</si>
  <si>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</si>
  <si>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</si>
  <si>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</si>
  <si>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</si>
  <si>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</si>
  <si>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</si>
  <si>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</si>
  <si>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</si>
  <si>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</si>
  <si>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</si>
  <si>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</si>
  <si>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</si>
  <si>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</si>
  <si>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</si>
  <si>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</si>
  <si>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</si>
  <si>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</si>
  <si>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</si>
  <si>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</si>
  <si>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Statistik Barlas (1989) — tanpa tahun COVID (2016–2019, 2022–2025, n = 8)</t>
  </si>
  <si>
    <t>Time (Tahun)</t>
  </si>
  <si>
    <t>Lahan Terbangun : Uji P1 &amp; 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</si>
</sst>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sz val="10.0"/>
      <color rgb="FF000000"/>
      <name val="Arial"/>
    </font>
    <font/>
    <font>
      <b/>
      <sz val="11.0"/>
      <color theme="1"/>
      <name val="Cambri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readingOrder="0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4" fillId="3" fontId="2" numFmtId="164" xfId="0" applyAlignment="1" applyBorder="1" applyFill="1" applyFont="1" applyNumberFormat="1">
      <alignment readingOrder="0" shrinkToFit="0" vertical="bottom" wrapText="0"/>
    </xf>
    <xf borderId="4" fillId="3" fontId="2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2">
  <tableColumns count="4">
    <tableColumn name="Tahun" id="1"/>
    <tableColumn name="Lahan Terbangun (simulasi)" id="2"/>
    <tableColumn name="Lahan Terbangun (data)" id="3"/>
    <tableColumn name="Galat" id="4"/>
  </tableColumns>
  <tableStyleInfo name="Uji P4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3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4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4">
  <tableColumns count="4">
    <tableColumn name="Tahun" id="1"/>
    <tableColumn name="Lahan Terbangun (simulasi)" id="2"/>
    <tableColumn name="Lahan Terbangun (data)" id="3"/>
    <tableColumn name="Galat" id="4"/>
  </tableColumns>
  <tableStyleInfo name="Uji P4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4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2015.0</v>
      </c>
      <c r="B2" s="2">
        <v>1.47499587543139E7</v>
      </c>
      <c r="C2" s="2">
        <v>1165.0</v>
      </c>
      <c r="D2" s="2">
        <v>165.0</v>
      </c>
      <c r="E2" s="2">
        <v>254537.0</v>
      </c>
      <c r="F2" s="2">
        <v>43037.0049074862</v>
      </c>
      <c r="G2" s="2">
        <v>34.89</v>
      </c>
      <c r="H2" s="2">
        <v>10131.09</v>
      </c>
      <c r="I2" s="2">
        <v>53.0896</v>
      </c>
      <c r="J2" s="2">
        <v>5698325.0</v>
      </c>
    </row>
    <row r="3" ht="22.5" customHeight="1">
      <c r="A3" s="2">
        <v>2016.0</v>
      </c>
      <c r="B3" s="2">
        <v>1.50663094573418E7</v>
      </c>
      <c r="C3" s="2">
        <v>1170.0</v>
      </c>
      <c r="D3" s="2">
        <v>158.0</v>
      </c>
      <c r="E3" s="2">
        <v>263878.0</v>
      </c>
      <c r="F3" s="2">
        <v>44561.0784555117</v>
      </c>
      <c r="G3" s="2">
        <v>37.72</v>
      </c>
      <c r="H3" s="2">
        <v>10694.03</v>
      </c>
      <c r="I3" s="2">
        <v>373.8424</v>
      </c>
      <c r="J3" s="2">
        <v>6097324.0</v>
      </c>
    </row>
    <row r="4" ht="22.5" customHeight="1">
      <c r="A4" s="2">
        <v>2017.0</v>
      </c>
      <c r="B4" s="2">
        <v>1.52804571667941E7</v>
      </c>
      <c r="C4" s="2">
        <v>1179.0</v>
      </c>
      <c r="D4" s="2">
        <v>171.0</v>
      </c>
      <c r="E4" s="2">
        <v>273563.0</v>
      </c>
      <c r="F4" s="2">
        <v>50223.957001398</v>
      </c>
      <c r="G4" s="2">
        <v>45.08</v>
      </c>
      <c r="H4" s="2">
        <v>11347.59</v>
      </c>
      <c r="I4" s="2">
        <v>165.3915</v>
      </c>
      <c r="J4" s="2">
        <v>1.08999E7</v>
      </c>
    </row>
    <row r="5" ht="22.5" customHeight="1">
      <c r="A5" s="2">
        <v>2018.0</v>
      </c>
      <c r="B5" s="2">
        <v>1.83909711595411E7</v>
      </c>
      <c r="C5" s="2">
        <v>1617.0</v>
      </c>
      <c r="D5" s="2">
        <v>177.0</v>
      </c>
      <c r="E5" s="2">
        <v>354684.0</v>
      </c>
      <c r="F5" s="2">
        <v>56624.3602289948</v>
      </c>
      <c r="G5" s="2">
        <v>45.11</v>
      </c>
      <c r="H5" s="2">
        <v>12100.99</v>
      </c>
      <c r="I5" s="2">
        <v>568.3341</v>
      </c>
      <c r="J5" s="2">
        <v>1.0293319E7</v>
      </c>
    </row>
    <row r="6" ht="22.5" customHeight="1">
      <c r="A6" s="2">
        <v>2019.0</v>
      </c>
      <c r="B6" s="2">
        <v>2.0520104E7</v>
      </c>
      <c r="C6" s="2">
        <v>1817.0</v>
      </c>
      <c r="D6" s="2">
        <v>189.0</v>
      </c>
      <c r="E6" s="2">
        <v>334784.0</v>
      </c>
      <c r="F6" s="2">
        <v>63480.0442236269</v>
      </c>
      <c r="G6" s="2">
        <v>45.34</v>
      </c>
      <c r="H6" s="2">
        <v>13104.38</v>
      </c>
      <c r="I6" s="2">
        <v>741.4483</v>
      </c>
      <c r="J6" s="2">
        <v>1.3363923E7</v>
      </c>
    </row>
    <row r="7" ht="22.5" customHeight="1">
      <c r="A7" s="3">
        <v>2020.0</v>
      </c>
      <c r="B7" s="3">
        <v>1.9610135E7</v>
      </c>
      <c r="C7" s="3">
        <v>1848.0</v>
      </c>
      <c r="D7" s="3">
        <v>180.0</v>
      </c>
      <c r="E7" s="3">
        <v>313840.0</v>
      </c>
      <c r="F7" s="3">
        <v>58962.0411105434</v>
      </c>
      <c r="G7" s="3">
        <v>28.9</v>
      </c>
      <c r="H7" s="3">
        <v>10926.83</v>
      </c>
      <c r="I7" s="3">
        <v>489.6932</v>
      </c>
      <c r="J7" s="3">
        <v>4753098.0</v>
      </c>
    </row>
    <row r="8" ht="22.5" customHeight="1">
      <c r="A8" s="3">
        <v>2021.0</v>
      </c>
      <c r="B8" s="3">
        <v>2.28493945E7</v>
      </c>
      <c r="C8" s="3">
        <v>1696.0</v>
      </c>
      <c r="D8" s="3">
        <v>170.0</v>
      </c>
      <c r="E8" s="3">
        <v>310755.0</v>
      </c>
      <c r="F8" s="3">
        <v>59887.5260314565</v>
      </c>
      <c r="G8" s="3">
        <v>27.48</v>
      </c>
      <c r="H8" s="3">
        <v>12097.19</v>
      </c>
      <c r="I8" s="3">
        <v>848.8042</v>
      </c>
      <c r="J8" s="3">
        <v>7379577.0</v>
      </c>
    </row>
    <row r="9" ht="22.5" customHeight="1">
      <c r="A9" s="2">
        <v>2022.0</v>
      </c>
      <c r="B9" s="2">
        <v>2.5755726E7</v>
      </c>
      <c r="C9" s="2">
        <v>1818.0</v>
      </c>
      <c r="D9" s="2">
        <v>183.0</v>
      </c>
      <c r="E9" s="2">
        <v>395284.0</v>
      </c>
      <c r="F9" s="2">
        <v>57709.075808398</v>
      </c>
      <c r="G9" s="2">
        <v>44.99</v>
      </c>
      <c r="H9" s="2">
        <v>13672.58</v>
      </c>
      <c r="I9" s="2">
        <v>463.5886</v>
      </c>
      <c r="J9" s="2">
        <v>9267217.0</v>
      </c>
    </row>
    <row r="10" ht="22.5" customHeight="1">
      <c r="A10" s="2">
        <v>2023.0</v>
      </c>
      <c r="B10" s="2">
        <v>3.054258E7</v>
      </c>
      <c r="C10" s="2">
        <v>1820.0</v>
      </c>
      <c r="D10" s="2">
        <v>201.0</v>
      </c>
      <c r="E10" s="2">
        <v>359340.0</v>
      </c>
      <c r="F10" s="2">
        <v>75624.403529316</v>
      </c>
      <c r="G10" s="2">
        <v>44.77</v>
      </c>
      <c r="H10" s="2">
        <v>14809.2</v>
      </c>
      <c r="I10" s="2">
        <v>1175.2552</v>
      </c>
      <c r="J10" s="2">
        <v>1.1417702E7</v>
      </c>
    </row>
    <row r="11" ht="22.5" customHeight="1">
      <c r="A11" s="2">
        <v>2024.0</v>
      </c>
      <c r="B11" s="2">
        <v>3.8134536E7</v>
      </c>
      <c r="C11" s="2">
        <v>2000.0</v>
      </c>
      <c r="D11" s="2">
        <v>218.0</v>
      </c>
      <c r="E11" s="2">
        <v>350946.0</v>
      </c>
      <c r="F11" s="2">
        <v>73511.574651116</v>
      </c>
      <c r="G11" s="2">
        <v>42.17</v>
      </c>
      <c r="H11" s="2">
        <v>15873.81</v>
      </c>
      <c r="I11" s="2">
        <v>712.2835</v>
      </c>
      <c r="J11" s="2">
        <v>1.150354E7</v>
      </c>
    </row>
    <row r="12" ht="22.5" customHeight="1">
      <c r="A12" s="2">
        <v>2025.0</v>
      </c>
      <c r="B12" s="2">
        <v>4.0695654E7</v>
      </c>
      <c r="C12" s="2">
        <v>2291.0</v>
      </c>
      <c r="D12" s="2">
        <v>201.0</v>
      </c>
      <c r="E12" s="2">
        <v>364994.0</v>
      </c>
      <c r="F12" s="2">
        <v>55029.5352961885</v>
      </c>
      <c r="G12" s="2">
        <v>38.07</v>
      </c>
      <c r="H12" s="2">
        <v>16947.62</v>
      </c>
      <c r="I12" s="2">
        <v>1325.950399</v>
      </c>
      <c r="J12" s="2">
        <v>1.1954114E7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75" customHeight="1">
      <c r="A15" s="5" t="s">
        <v>10</v>
      </c>
      <c r="B15" s="6"/>
      <c r="C15" s="4"/>
      <c r="D15" s="4"/>
      <c r="E15" s="4"/>
      <c r="F15" s="4"/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6" width="14.0"/>
    <col customWidth="1" min="17" max="18" width="15.75"/>
    <col customWidth="1" min="19" max="25" width="22.75"/>
    <col customWidth="1" min="26" max="26" width="16.75"/>
    <col customWidth="1" min="27" max="27" width="21.0"/>
  </cols>
  <sheetData>
    <row r="1" ht="31.5" customHeight="1">
      <c r="A1" s="7" t="s">
        <v>0</v>
      </c>
      <c r="B1" s="7" t="s">
        <v>11</v>
      </c>
      <c r="C1" s="7" t="s">
        <v>12</v>
      </c>
      <c r="D1" s="7" t="s">
        <v>13</v>
      </c>
    </row>
    <row r="2" ht="22.5" customHeight="1">
      <c r="A2" s="8">
        <v>2016.0</v>
      </c>
      <c r="B2" s="9">
        <v>44561.1</v>
      </c>
      <c r="C2" s="8">
        <f>'Data Pembanding'!F3</f>
        <v>44561.07846</v>
      </c>
      <c r="D2" s="10">
        <f t="shared" ref="D2:D11" si="1">B2-C2</f>
        <v>0.0215444883</v>
      </c>
    </row>
    <row r="3" ht="22.5" customHeight="1">
      <c r="A3" s="8">
        <v>2017.0</v>
      </c>
      <c r="B3" s="9">
        <v>46235.9</v>
      </c>
      <c r="C3" s="8">
        <f>'Data Pembanding'!F4</f>
        <v>50223.957</v>
      </c>
      <c r="D3" s="10">
        <f t="shared" si="1"/>
        <v>-3988.057001</v>
      </c>
    </row>
    <row r="4" ht="22.5" customHeight="1">
      <c r="A4" s="8">
        <v>2018.0</v>
      </c>
      <c r="B4" s="9">
        <v>47961.8</v>
      </c>
      <c r="C4" s="8">
        <f>'Data Pembanding'!F5</f>
        <v>56624.36023</v>
      </c>
      <c r="D4" s="10">
        <f t="shared" si="1"/>
        <v>-8662.560229</v>
      </c>
    </row>
    <row r="5" ht="22.5" customHeight="1">
      <c r="A5" s="8">
        <v>2019.0</v>
      </c>
      <c r="B5" s="9">
        <v>49752.8</v>
      </c>
      <c r="C5" s="8">
        <f>'Data Pembanding'!F6</f>
        <v>63480.04422</v>
      </c>
      <c r="D5" s="10">
        <f t="shared" si="1"/>
        <v>-13727.24422</v>
      </c>
    </row>
    <row r="6" ht="22.5" customHeight="1">
      <c r="A6" s="11">
        <v>2020.0</v>
      </c>
      <c r="B6" s="12">
        <v>51606.0</v>
      </c>
      <c r="C6" s="11">
        <f>'Data Pembanding'!F7</f>
        <v>58962.04111</v>
      </c>
      <c r="D6" s="13">
        <f t="shared" si="1"/>
        <v>-7356.041111</v>
      </c>
    </row>
    <row r="7" ht="22.5" customHeight="1">
      <c r="A7" s="11">
        <v>2021.0</v>
      </c>
      <c r="B7" s="12">
        <v>53501.0</v>
      </c>
      <c r="C7" s="11">
        <f>'Data Pembanding'!F8</f>
        <v>59887.52603</v>
      </c>
      <c r="D7" s="13">
        <f t="shared" si="1"/>
        <v>-6386.526031</v>
      </c>
    </row>
    <row r="8" ht="22.5" customHeight="1">
      <c r="A8" s="8">
        <v>2022.0</v>
      </c>
      <c r="B8" s="9">
        <v>55468.0</v>
      </c>
      <c r="C8" s="8">
        <f>'Data Pembanding'!F9</f>
        <v>57709.07581</v>
      </c>
      <c r="D8" s="10">
        <f t="shared" si="1"/>
        <v>-2241.075808</v>
      </c>
    </row>
    <row r="9" ht="22.5" customHeight="1">
      <c r="A9" s="8">
        <v>2023.0</v>
      </c>
      <c r="B9" s="9">
        <v>57480.2</v>
      </c>
      <c r="C9" s="8">
        <f>'Data Pembanding'!F10</f>
        <v>75624.40353</v>
      </c>
      <c r="D9" s="10">
        <f t="shared" si="1"/>
        <v>-18144.20353</v>
      </c>
    </row>
    <row r="10" ht="22.5" customHeight="1">
      <c r="A10" s="8">
        <v>2024.0</v>
      </c>
      <c r="B10" s="9">
        <v>59584.9</v>
      </c>
      <c r="C10" s="8">
        <f>'Data Pembanding'!F11</f>
        <v>73511.57465</v>
      </c>
      <c r="D10" s="10">
        <f t="shared" si="1"/>
        <v>-13926.67465</v>
      </c>
    </row>
    <row r="11" ht="22.5" customHeight="1">
      <c r="A11" s="8">
        <v>2025.0</v>
      </c>
      <c r="B11" s="9">
        <v>61726.6</v>
      </c>
      <c r="C11" s="8">
        <f>'Data Pembanding'!F12</f>
        <v>55029.5353</v>
      </c>
      <c r="D11" s="10">
        <f t="shared" si="1"/>
        <v>6697.064704</v>
      </c>
    </row>
    <row r="13">
      <c r="A13" s="14" t="s">
        <v>14</v>
      </c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2.5" customHeight="1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22</v>
      </c>
      <c r="I15" s="7" t="s">
        <v>23</v>
      </c>
      <c r="J15" s="7" t="s">
        <v>24</v>
      </c>
      <c r="K15" s="7" t="s">
        <v>25</v>
      </c>
      <c r="L15" s="7" t="s">
        <v>26</v>
      </c>
      <c r="M15" s="7" t="s">
        <v>27</v>
      </c>
      <c r="N15" s="7" t="s">
        <v>28</v>
      </c>
      <c r="O15" s="7" t="s">
        <v>29</v>
      </c>
      <c r="P15" s="7" t="s">
        <v>30</v>
      </c>
      <c r="Q15" s="7" t="s">
        <v>31</v>
      </c>
      <c r="R15" s="7" t="s">
        <v>32</v>
      </c>
      <c r="S15" s="7" t="s">
        <v>33</v>
      </c>
      <c r="T15" s="7" t="s">
        <v>34</v>
      </c>
      <c r="U15" s="7" t="s">
        <v>35</v>
      </c>
      <c r="V15" s="7" t="s">
        <v>36</v>
      </c>
      <c r="W15" s="7" t="s">
        <v>37</v>
      </c>
      <c r="X15" s="7" t="s">
        <v>38</v>
      </c>
      <c r="Y15" s="7" t="s">
        <v>39</v>
      </c>
      <c r="Z15" s="7" t="s">
        <v>40</v>
      </c>
      <c r="AA15" s="7" t="s">
        <v>41</v>
      </c>
    </row>
    <row r="16" ht="22.5" customHeight="1">
      <c r="A16" s="16" t="s">
        <v>5</v>
      </c>
      <c r="B16" s="17">
        <f>AVERAGE(C2:C11)</f>
        <v>59561.35963</v>
      </c>
      <c r="C16" s="17">
        <f>AVERAGE(B2:B11)</f>
        <v>52787.83</v>
      </c>
      <c r="D16" s="17">
        <f>_xlfn.STDEV.P(C2:C11)</f>
        <v>9017.989856</v>
      </c>
      <c r="E16" s="17">
        <f>_xlfn.STDEV.P(B2:B11)</f>
        <v>5480.124055</v>
      </c>
      <c r="F16" s="17">
        <f>CORREL(C2:C11,B2:B11)</f>
        <v>0.6323871669</v>
      </c>
      <c r="G16" s="17">
        <f>ABS(C16-B16)/ABS(B16)</f>
        <v>0.1137235563</v>
      </c>
      <c r="H16" s="17">
        <f>ABS(E16-D16)/D16</f>
        <v>0.3923120182</v>
      </c>
      <c r="I16" s="17">
        <f>_xlfn.STDEV.P(D2:D11)/(D16+E16)</f>
        <v>0.4820874137</v>
      </c>
      <c r="J16" s="17">
        <f>(C16-B16)^2</f>
        <v>45880703.7</v>
      </c>
      <c r="K16" s="17">
        <f>(E16-D16)^2</f>
        <v>12516494.42</v>
      </c>
      <c r="L16" s="17">
        <f>2*(1-F16)*E16*D16</f>
        <v>36334634.17</v>
      </c>
      <c r="M16" s="17">
        <f>J16/(J16+K16+L16)</f>
        <v>0.4843219284</v>
      </c>
      <c r="N16" s="17">
        <f>K16/(J16+K16+L16)</f>
        <v>0.1321255392</v>
      </c>
      <c r="O16" s="17">
        <f>L16/(J16+K16+L16)</f>
        <v>0.3835525324</v>
      </c>
      <c r="P16" s="17">
        <f>SUMPRODUCT(ABS(D2:D11/C2:C11))/COUNT(C2:C11)</f>
        <v>0.1269942313</v>
      </c>
      <c r="Q16" s="18" t="str">
        <f>IF(G16&lt;=0.05,"Lolos","Tidak")</f>
        <v>Tidak</v>
      </c>
      <c r="R16" s="18" t="str">
        <f>IF(H16&lt;=0.3,"Lolos","Tidak")</f>
        <v>Tidak</v>
      </c>
      <c r="S16" s="18" t="str">
        <f>IF(I16&lt;0.4,"Baik",IF(I16&lt;=0.7,"Cukup","Kurang"))</f>
        <v>Cukup</v>
      </c>
      <c r="T16" s="17">
        <f>SLOPE(C2:C11,A2:A11)</f>
        <v>2035.407462</v>
      </c>
      <c r="U16" s="17">
        <f>SLOPE(B2:B11,A2:A11)</f>
        <v>1906.455152</v>
      </c>
      <c r="V16" s="17">
        <f>STEYX(C2:C11,A2:A11)^2/DEVSQ(A2:A11)</f>
        <v>714323.5129</v>
      </c>
      <c r="W16" s="17">
        <f>STEYX(B2:B11,A2:A11)^2/DEVSQ(A2:A11)</f>
        <v>705.2559546</v>
      </c>
      <c r="X16" s="17">
        <f>ABS(U16-T16)/SQRT(V16+W16)</f>
        <v>0.1524991318</v>
      </c>
      <c r="Y16" s="17">
        <f>_xlfn.T.INV.2T(0.05,2*COUNT(A2:A11)-4)</f>
        <v>2.119905299</v>
      </c>
      <c r="Z16" s="18" t="str">
        <f>IF(SIGN(T16)=SIGN(U16),"Sama","Berlawanan")</f>
        <v>Sama</v>
      </c>
      <c r="AA16" s="18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list" allowBlank="1" sqref="Z16">
      <formula1>"Sama"</formula1>
    </dataValidation>
    <dataValidation type="list" allowBlank="1" sqref="S16">
      <formula1>"Cukup"</formula1>
    </dataValidation>
    <dataValidation type="custom" allowBlank="1" showDropDown="1" sqref="A2:D11 B16:P16 T16:Y16">
      <formula1>AND(ISNUMBER(A2),(NOT(OR(NOT(ISERROR(DATEVALUE(A2))), AND(ISNUMBER(A2), LEFT(CELL("format", A2))="D")))))</formula1>
    </dataValidation>
    <dataValidation type="list" allowBlank="1" sqref="Q16:R16">
      <formula1>"Tidak"</formula1>
    </dataValidation>
    <dataValidation type="list" allowBlank="1" sqref="AA16">
      <formula1>"Tidak berbeda nyata"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6" width="14.0"/>
    <col customWidth="1" min="17" max="18" width="15.75"/>
    <col customWidth="1" min="19" max="23" width="23.88"/>
    <col customWidth="1" min="24" max="25" width="14.0"/>
    <col customWidth="1" min="26" max="26" width="16.75"/>
    <col customWidth="1" min="27" max="27" width="21.0"/>
  </cols>
  <sheetData>
    <row r="1" ht="31.5" customHeight="1">
      <c r="A1" s="7" t="s">
        <v>0</v>
      </c>
      <c r="B1" s="7" t="s">
        <v>11</v>
      </c>
      <c r="C1" s="7" t="s">
        <v>12</v>
      </c>
      <c r="D1" s="7" t="s">
        <v>13</v>
      </c>
    </row>
    <row r="2" ht="22.5" customHeight="1">
      <c r="A2" s="8">
        <f>'Uji P4'!A2</f>
        <v>2016</v>
      </c>
      <c r="B2" s="10">
        <v>44561.1</v>
      </c>
      <c r="C2" s="8">
        <f>'Data Pembanding'!F3</f>
        <v>44561.07846</v>
      </c>
      <c r="D2" s="10">
        <f t="shared" ref="D2:D9" si="1">B2-C2</f>
        <v>0.0215444883</v>
      </c>
    </row>
    <row r="3" ht="22.5" customHeight="1">
      <c r="A3" s="8">
        <f>'Uji P4'!A3</f>
        <v>2017</v>
      </c>
      <c r="B3" s="10">
        <v>46235.9</v>
      </c>
      <c r="C3" s="8">
        <f>'Data Pembanding'!F4</f>
        <v>50223.957</v>
      </c>
      <c r="D3" s="10">
        <f t="shared" si="1"/>
        <v>-3988.057001</v>
      </c>
    </row>
    <row r="4" ht="22.5" customHeight="1">
      <c r="A4" s="8">
        <f>'Uji P4'!A4</f>
        <v>2018</v>
      </c>
      <c r="B4" s="10">
        <v>47961.8</v>
      </c>
      <c r="C4" s="8">
        <f>'Data Pembanding'!F5</f>
        <v>56624.36023</v>
      </c>
      <c r="D4" s="10">
        <f t="shared" si="1"/>
        <v>-8662.560229</v>
      </c>
    </row>
    <row r="5" ht="22.5" customHeight="1">
      <c r="A5" s="8">
        <f>'Uji P4'!A5</f>
        <v>2019</v>
      </c>
      <c r="B5" s="10">
        <v>49752.8</v>
      </c>
      <c r="C5" s="8">
        <f>'Data Pembanding'!F6</f>
        <v>63480.04422</v>
      </c>
      <c r="D5" s="10">
        <f t="shared" si="1"/>
        <v>-13727.24422</v>
      </c>
    </row>
    <row r="6" ht="22.5" customHeight="1">
      <c r="A6" s="8">
        <f>'Uji P4'!A8</f>
        <v>2022</v>
      </c>
      <c r="B6" s="10">
        <v>55468.0</v>
      </c>
      <c r="C6" s="8">
        <f>'Data Pembanding'!F9</f>
        <v>57709.07581</v>
      </c>
      <c r="D6" s="10">
        <f t="shared" si="1"/>
        <v>-2241.075808</v>
      </c>
    </row>
    <row r="7" ht="22.5" customHeight="1">
      <c r="A7" s="8">
        <f>'Uji P4'!A9</f>
        <v>2023</v>
      </c>
      <c r="B7" s="10">
        <v>57480.2</v>
      </c>
      <c r="C7" s="8">
        <f>'Data Pembanding'!F10</f>
        <v>75624.40353</v>
      </c>
      <c r="D7" s="10">
        <f t="shared" si="1"/>
        <v>-18144.20353</v>
      </c>
    </row>
    <row r="8" ht="22.5" customHeight="1">
      <c r="A8" s="8">
        <f>'Uji P4'!A10</f>
        <v>2024</v>
      </c>
      <c r="B8" s="10">
        <v>59584.9</v>
      </c>
      <c r="C8" s="8">
        <f>'Data Pembanding'!F11</f>
        <v>73511.57465</v>
      </c>
      <c r="D8" s="10">
        <f t="shared" si="1"/>
        <v>-13926.67465</v>
      </c>
    </row>
    <row r="9" ht="22.5" customHeight="1">
      <c r="A9" s="8">
        <f>'Uji P4'!A11</f>
        <v>2025</v>
      </c>
      <c r="B9" s="10">
        <v>61726.6</v>
      </c>
      <c r="C9" s="8">
        <f>'Data Pembanding'!F12</f>
        <v>55029.5353</v>
      </c>
      <c r="D9" s="10">
        <f t="shared" si="1"/>
        <v>6697.064704</v>
      </c>
    </row>
    <row r="11">
      <c r="A11" s="14" t="s">
        <v>42</v>
      </c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22.5" customHeight="1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23</v>
      </c>
      <c r="J13" s="7" t="s">
        <v>24</v>
      </c>
      <c r="K13" s="7" t="s">
        <v>25</v>
      </c>
      <c r="L13" s="7" t="s">
        <v>26</v>
      </c>
      <c r="M13" s="7" t="s">
        <v>27</v>
      </c>
      <c r="N13" s="7" t="s">
        <v>28</v>
      </c>
      <c r="O13" s="7" t="s">
        <v>29</v>
      </c>
      <c r="P13" s="7" t="s">
        <v>30</v>
      </c>
      <c r="Q13" s="7" t="s">
        <v>31</v>
      </c>
      <c r="R13" s="7" t="s">
        <v>32</v>
      </c>
      <c r="S13" s="7" t="s">
        <v>33</v>
      </c>
      <c r="T13" s="7" t="s">
        <v>34</v>
      </c>
      <c r="U13" s="7" t="s">
        <v>35</v>
      </c>
      <c r="V13" s="7" t="s">
        <v>36</v>
      </c>
      <c r="W13" s="7" t="s">
        <v>37</v>
      </c>
      <c r="X13" s="7" t="s">
        <v>38</v>
      </c>
      <c r="Y13" s="7" t="s">
        <v>39</v>
      </c>
      <c r="Z13" s="7" t="s">
        <v>40</v>
      </c>
      <c r="AA13" s="7" t="s">
        <v>41</v>
      </c>
    </row>
    <row r="14" ht="22.5" customHeight="1">
      <c r="A14" s="16" t="s">
        <v>5</v>
      </c>
      <c r="B14" s="17">
        <f>AVERAGE(C2:C9)</f>
        <v>59595.50365</v>
      </c>
      <c r="C14" s="17">
        <f>AVERAGE(B2:B9)</f>
        <v>52846.4125</v>
      </c>
      <c r="D14" s="17">
        <f>_xlfn.STDEV.P(C2:C9)</f>
        <v>10079.47492</v>
      </c>
      <c r="E14" s="17">
        <f>_xlfn.STDEV.P(B2:B9)</f>
        <v>6107.217121</v>
      </c>
      <c r="F14" s="17">
        <f>CORREL(C2:C9,B2:B9)</f>
        <v>0.632674212</v>
      </c>
      <c r="G14" s="17">
        <f>ABS(C14-B14)/ABS(B14)</f>
        <v>0.1132483281</v>
      </c>
      <c r="H14" s="17">
        <f>ABS(E14-D14)/D14</f>
        <v>0.3940937229</v>
      </c>
      <c r="I14" s="17">
        <f>_xlfn.STDEV.P(D2:D9)/(D14+E14)</f>
        <v>0.4825191601</v>
      </c>
      <c r="J14" s="17">
        <f>(C14-B14)^2</f>
        <v>45550231.34</v>
      </c>
      <c r="K14" s="17">
        <f>(E14-D14)^2</f>
        <v>15778831.99</v>
      </c>
      <c r="L14" s="17">
        <f>2*(1-F14)*E14*D14</f>
        <v>45223345.09</v>
      </c>
      <c r="M14" s="17">
        <f>J14/(J14+K14+L14)</f>
        <v>0.4274913352</v>
      </c>
      <c r="N14" s="17">
        <f>K14/(J14+K14+L14)</f>
        <v>0.1480851744</v>
      </c>
      <c r="O14" s="17">
        <f>L14/(J14+K14+L14)</f>
        <v>0.4244234904</v>
      </c>
      <c r="P14" s="17">
        <f>SUMPRODUCT(ABS(D2:D9/C2:C9))/COUNT(C2:C9)</f>
        <v>0.129817672</v>
      </c>
      <c r="Q14" s="18" t="str">
        <f>IF(G14&lt;=0.05,"Lolos","Tidak")</f>
        <v>Tidak</v>
      </c>
      <c r="R14" s="18" t="str">
        <f>IF(H14&lt;=0.3,"Lolos","Tidak")</f>
        <v>Tidak</v>
      </c>
      <c r="S14" s="18" t="str">
        <f>IF(I14&lt;0.4,"Baik",IF(I14&lt;=0.7,"Cukup","Kurang"))</f>
        <v>Cukup</v>
      </c>
      <c r="T14" s="17">
        <f>SLOPE(C2:C9,A2:A9)</f>
        <v>2042.175283</v>
      </c>
      <c r="U14" s="17">
        <f>SLOPE(B2:B9,A2:A9)</f>
        <v>1906.525</v>
      </c>
      <c r="V14" s="17">
        <f>STEYX(C2:C9,A2:A9)^2/DEVSQ(A2:A9)</f>
        <v>956884.4839</v>
      </c>
      <c r="W14" s="17">
        <f>STEYX(B2:B9,A2:A9)^2/DEVSQ(A2:A9)</f>
        <v>666.923877</v>
      </c>
      <c r="X14" s="17">
        <f>ABS(U14-T14)/SQRT(V14+W14)</f>
        <v>0.1386243918</v>
      </c>
      <c r="Y14" s="17">
        <f>_xlfn.T.INV.2T(0.05,2*COUNT(A2:A9)-4)</f>
        <v>2.17881283</v>
      </c>
      <c r="Z14" s="18" t="str">
        <f>IF(SIGN(T14)=SIGN(U14),"Sama","Berlawanan")</f>
        <v>Sama</v>
      </c>
      <c r="AA14" s="18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list" allowBlank="1" sqref="Z14">
      <formula1>"Sama"</formula1>
    </dataValidation>
    <dataValidation type="list" allowBlank="1" sqref="S14">
      <formula1>"Cukup"</formula1>
    </dataValidation>
    <dataValidation type="custom" allowBlank="1" showDropDown="1" sqref="A2:D9 B14:P14 T14:Y14">
      <formula1>AND(ISNUMBER(A2),(NOT(OR(NOT(ISERROR(DATEVALUE(A2))), AND(ISNUMBER(A2), LEFT(CELL("format", A2))="D")))))</formula1>
    </dataValidation>
    <dataValidation type="list" allowBlank="1" sqref="Q14:R14">
      <formula1>"Tidak"</formula1>
    </dataValidation>
    <dataValidation type="list" allowBlank="1" sqref="AA14">
      <formula1>"Tidak berbeda nyata"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43</v>
      </c>
      <c r="B1" s="19">
        <v>2016.0</v>
      </c>
      <c r="C1" s="19">
        <v>2017.0</v>
      </c>
      <c r="D1" s="19">
        <v>2018.0</v>
      </c>
      <c r="E1" s="19">
        <v>2019.0</v>
      </c>
      <c r="F1" s="19">
        <v>2020.0</v>
      </c>
      <c r="G1" s="19">
        <v>2021.0</v>
      </c>
      <c r="H1" s="19">
        <v>2022.0</v>
      </c>
      <c r="I1" s="19">
        <v>2023.0</v>
      </c>
      <c r="J1" s="19">
        <v>2024.0</v>
      </c>
      <c r="K1" s="19">
        <v>2025.0</v>
      </c>
    </row>
    <row r="2">
      <c r="A2" s="19" t="s">
        <v>44</v>
      </c>
      <c r="B2" s="19">
        <v>44561.1</v>
      </c>
      <c r="C2" s="19">
        <v>46235.9</v>
      </c>
      <c r="D2" s="19">
        <v>47961.8</v>
      </c>
      <c r="E2" s="19">
        <v>49752.8</v>
      </c>
      <c r="F2" s="19">
        <v>51606.0</v>
      </c>
      <c r="G2" s="19">
        <v>53501.0</v>
      </c>
      <c r="H2" s="19">
        <v>55468.0</v>
      </c>
      <c r="I2" s="19">
        <v>57480.2</v>
      </c>
      <c r="J2" s="19">
        <v>59584.9</v>
      </c>
      <c r="K2" s="19">
        <v>61726.6</v>
      </c>
    </row>
    <row r="4">
      <c r="A4" s="19" t="s">
        <v>43</v>
      </c>
      <c r="B4" s="19" t="s">
        <v>44</v>
      </c>
    </row>
    <row r="5">
      <c r="A5" s="19">
        <v>2016.0</v>
      </c>
      <c r="B5" s="19">
        <v>44561.1</v>
      </c>
    </row>
    <row r="6">
      <c r="A6" s="19">
        <v>2017.0</v>
      </c>
      <c r="B6" s="19">
        <v>46235.9</v>
      </c>
    </row>
    <row r="7">
      <c r="A7" s="19">
        <v>2018.0</v>
      </c>
      <c r="B7" s="19">
        <v>47961.8</v>
      </c>
    </row>
    <row r="8">
      <c r="A8" s="19">
        <v>2019.0</v>
      </c>
      <c r="B8" s="19">
        <v>49752.8</v>
      </c>
    </row>
    <row r="9">
      <c r="A9" s="19">
        <v>2020.0</v>
      </c>
      <c r="B9" s="19">
        <v>51606.0</v>
      </c>
    </row>
    <row r="10">
      <c r="A10" s="19">
        <v>2021.0</v>
      </c>
      <c r="B10" s="19">
        <v>53501.0</v>
      </c>
    </row>
    <row r="11">
      <c r="A11" s="19">
        <v>2022.0</v>
      </c>
      <c r="B11" s="19">
        <v>55468.0</v>
      </c>
    </row>
    <row r="12">
      <c r="A12" s="19">
        <v>2023.0</v>
      </c>
      <c r="B12" s="19">
        <v>57480.2</v>
      </c>
    </row>
    <row r="13">
      <c r="A13" s="19">
        <v>2024.0</v>
      </c>
      <c r="B13" s="19">
        <v>59584.9</v>
      </c>
    </row>
    <row r="14">
      <c r="A14" s="19">
        <v>2025.0</v>
      </c>
      <c r="B14" s="19">
        <v>61726.6</v>
      </c>
    </row>
  </sheetData>
  <drawing r:id="rId1"/>
</worksheet>
</file>