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B (Uji Penuh)" sheetId="2" r:id="rId6"/>
    <sheet state="visible" name="Uji B Tanpa COVID" sheetId="3" r:id="rId7"/>
  </sheets>
  <definedNames/>
  <calcPr/>
</workbook>
</file>

<file path=xl/sharedStrings.xml><?xml version="1.0" encoding="utf-8"?>
<sst xmlns="http://schemas.openxmlformats.org/spreadsheetml/2006/main" count="159" uniqueCount="70">
  <si>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</si>
  <si>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</si>
  <si>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</si>
  <si>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</si>
  <si>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</si>
  <si>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</si>
  <si>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</si>
  <si>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</si>
  <si>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</si>
  <si>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</si>
  <si>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Jumlah Wisatawan (simulasi)</t>
  </si>
  <si>
    <t>Jumlah Wisatawan (data)</t>
  </si>
  <si>
    <t>Galat</t>
  </si>
  <si>
    <t>Jumlah Hotel dan Akomodasi (simulasi)</t>
  </si>
  <si>
    <t>Jumlah Hotel dan Akomodasi (data)</t>
  </si>
  <si>
    <t>Jumlah Objek Daya Tarik Wisata (simulasi)</t>
  </si>
  <si>
    <t>Jumlah Objek Daya Tarik Wisata (data)</t>
  </si>
  <si>
    <t>Tenaga Kerja Pariwisata (simulasi)</t>
  </si>
  <si>
    <t>Tenaga Kerja Pariwisata (data)</t>
  </si>
  <si>
    <t>Lahan Terbangun (simulasi)</t>
  </si>
  <si>
    <t>Lahan Terbangun (data)</t>
  </si>
  <si>
    <t>Data Aktual Wisatawan</t>
  </si>
  <si>
    <t>Tingkat Penghunian Kamar (TPK) (simulasi)</t>
  </si>
  <si>
    <t>Tingkat Penghunian Kamar (TPK) (data)</t>
  </si>
  <si>
    <t>PDRB Sektor Pariwisata (simulasi)</t>
  </si>
  <si>
    <t>PDRB Sektor Pariwisata (data)</t>
  </si>
  <si>
    <t>Investasi Sektor Pariwisata (simulasi)</t>
  </si>
  <si>
    <t>Investasi Sektor Pariwisata (data)</t>
  </si>
  <si>
    <t>Total Malam Menginap (simulasi)</t>
  </si>
  <si>
    <t>Total Malam Menginap (data)</t>
  </si>
  <si>
    <t>Data Aktual Hotel</t>
  </si>
  <si>
    <t>Data Aktual DTW</t>
  </si>
  <si>
    <t>Data Aktual TK</t>
  </si>
  <si>
    <t>Data Aktual Lahan</t>
  </si>
  <si>
    <t>Data Aktual TPK</t>
  </si>
  <si>
    <t>Data Aktual PDRB</t>
  </si>
  <si>
    <t>Data Aktual Investasi</t>
  </si>
  <si>
    <t>Data Aktual Total malam menginap</t>
  </si>
  <si>
    <t>Tahun Covid</t>
  </si>
  <si>
    <t>Statistik Barlas (1989), termasuk tahun COVID (2019 - 2025, n = 7)</t>
  </si>
  <si>
    <t>Statistik Barlas (1989) — tanpa tahun COVID 2020–2021 (2019, 2022–2025, n = 5)</t>
  </si>
  <si>
    <t>Variabel</t>
  </si>
  <si>
    <t>Rata-rata data aktual</t>
  </si>
  <si>
    <t>Rata-rata simulasi</t>
  </si>
  <si>
    <t>Simpangan baku data aktual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</si>
  <si>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</si>
  <si>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</si>
  <si>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</si>
  <si>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</si>
  <si>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</si>
  <si>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</si>
  <si>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</si>
  <si>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</si>
  <si>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</si>
  <si>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</si>
  <si>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</si>
  <si>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</si>
  <si>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</si>
  <si>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</si>
  <si>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Lolos DC</t>
  </si>
  <si>
    <t>Kemiringan tren data</t>
  </si>
  <si>
    <t>Kemiringan tren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</si>
  <si>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</si>
  <si>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</si>
  <si>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</si>
  <si>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</si>
  <si>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</si>
  <si>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</si>
  <si>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Catatan</t>
  </si>
  <si>
    <t>Jumlah Wisatawan 2025 hasil simulasi seharusnya jauh di bawah data 40,70 juta, karena model tumbuh sekitar 6,3% per tahun.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</si>
</sst>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#,##0.0000"/>
    <numFmt numFmtId="166" formatCode="#,##0.000000"/>
    <numFmt numFmtId="167" formatCode="0.0000"/>
  </numFmts>
  <fonts count="8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mbria"/>
    </font>
    <font>
      <sz val="10.0"/>
      <color rgb="FF000000"/>
      <name val="Arial"/>
    </font>
    <font/>
    <font>
      <b/>
      <sz val="11.0"/>
      <color rgb="FF000000"/>
      <name val="Google Sans"/>
    </font>
    <font>
      <b/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0" fillId="0" fontId="1" numFmtId="4" xfId="0" applyAlignment="1" applyFont="1" applyNumberFormat="1">
      <alignment shrinkToFit="0" vertical="center" wrapText="1"/>
    </xf>
    <xf borderId="2" fillId="2" fontId="1" numFmtId="0" xfId="0" applyAlignment="1" applyBorder="1" applyFill="1" applyFont="1">
      <alignment horizontal="center" shrinkToFit="0" vertical="bottom" wrapText="0"/>
    </xf>
    <xf borderId="0" fillId="0" fontId="1" numFmtId="3" xfId="0" applyAlignment="1" applyFont="1" applyNumberFormat="1">
      <alignment horizontal="center" shrinkToFit="0" vertical="center" wrapText="0"/>
    </xf>
    <xf borderId="3" fillId="0" fontId="4" numFmtId="0" xfId="0" applyBorder="1" applyFont="1"/>
    <xf borderId="0" fillId="0" fontId="1" numFmtId="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3" numFmtId="3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bottom" wrapText="1"/>
    </xf>
    <xf borderId="0" fillId="0" fontId="1" numFmtId="167" xfId="0" applyAlignment="1" applyFont="1" applyNumberFormat="1">
      <alignment shrinkToFit="0" vertical="center" wrapText="1"/>
    </xf>
    <xf borderId="0" fillId="0" fontId="3" numFmtId="167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Tanpa COVI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8" displayName="Table5" name="Table5" id="5">
  <tableColumns count="4">
    <tableColumn name="Tahun" id="1"/>
    <tableColumn name="Jumlah Wisatawan" id="2"/>
    <tableColumn name="Data Aktual Wisatawan" id="3"/>
    <tableColumn name="Galat" id="4"/>
  </tableColumns>
  <tableStyleInfo name="Uji B (Uji Penuh)-style" showColumnStripes="0" showFirstColumn="1" showLastColumn="1" showRowStripes="1"/>
</table>
</file>

<file path=xl/tables/table3.xml><?xml version="1.0" encoding="utf-8"?>
<table xmlns="http://schemas.openxmlformats.org/spreadsheetml/2006/main" ref="F1:I8" displayName="Table6" name="Table6" id="6">
  <tableColumns count="4">
    <tableColumn name="Tahun" id="1"/>
    <tableColumn name="Jumlah Hotel dan Akomodasi" id="2"/>
    <tableColumn name="Data Aktual Hotel" id="3"/>
    <tableColumn name="Galat" id="4"/>
  </tableColumns>
  <tableStyleInfo name="Uji B (Uji Penuh)-style 2" showColumnStripes="0" showFirstColumn="1" showLastColumn="1" showRowStripes="1"/>
</table>
</file>

<file path=xl/tables/table4.xml><?xml version="1.0" encoding="utf-8"?>
<table xmlns="http://schemas.openxmlformats.org/spreadsheetml/2006/main" ref="K1:N8" displayName="Table7" name="Table7" id="7">
  <tableColumns count="4">
    <tableColumn name="Tahun" id="1"/>
    <tableColumn name="Jumlah Objek Daya Tarik Wisata" id="2"/>
    <tableColumn name="Data Aktual DTW" id="3"/>
    <tableColumn name="Galat" id="4"/>
  </tableColumns>
  <tableStyleInfo name="Uji B (Uji Penuh)-style 3" showColumnStripes="0" showFirstColumn="1" showLastColumn="1" showRowStripes="1"/>
</table>
</file>

<file path=xl/tables/table5.xml><?xml version="1.0" encoding="utf-8"?>
<table xmlns="http://schemas.openxmlformats.org/spreadsheetml/2006/main" ref="P1:S8" displayName="Table8" name="Table8" id="8">
  <tableColumns count="4">
    <tableColumn name="Tahun" id="1"/>
    <tableColumn name="Tenaga Kerja Pariwisata" id="2"/>
    <tableColumn name="Data Aktual TK" id="3"/>
    <tableColumn name="Galat" id="4"/>
  </tableColumns>
  <tableStyleInfo name="Uji B (Uji Penuh)-style 4" showColumnStripes="0" showFirstColumn="1" showLastColumn="1" showRowStripes="1"/>
</table>
</file>

<file path=xl/tables/table6.xml><?xml version="1.0" encoding="utf-8"?>
<table xmlns="http://schemas.openxmlformats.org/spreadsheetml/2006/main" ref="U1:X8" displayName="Table9" name="Table9" id="9">
  <tableColumns count="4">
    <tableColumn name="Tahun" id="1"/>
    <tableColumn name="Lahan Terbangun" id="2"/>
    <tableColumn name="Data Aktual Lahan" id="3"/>
    <tableColumn name="Galat" id="4"/>
  </tableColumns>
  <tableStyleInfo name="Uji B (Uji Penuh)-style 5" showColumnStripes="0" showFirstColumn="1" showLastColumn="1" showRowStripes="1"/>
</table>
</file>

<file path=xl/tables/table7.xml><?xml version="1.0" encoding="utf-8"?>
<table xmlns="http://schemas.openxmlformats.org/spreadsheetml/2006/main" ref="Z1:AC8" displayName="Table10" name="Table10" id="10">
  <tableColumns count="4">
    <tableColumn name="Tahun" id="1"/>
    <tableColumn name="Tingkat Penghunian Kamar (TPK)" id="2"/>
    <tableColumn name="Data Aktual TPK" id="3"/>
    <tableColumn name="Galat" id="4"/>
  </tableColumns>
  <tableStyleInfo name="Uji B (Uji Penuh)-style 6" showColumnStripes="0" showFirstColumn="1" showLastColumn="1" showRowStripes="1"/>
</table>
</file>

<file path=xl/tables/table8.xml><?xml version="1.0" encoding="utf-8"?>
<table xmlns="http://schemas.openxmlformats.org/spreadsheetml/2006/main" ref="AE1:AH8" displayName="Table11" name="Table11" id="11">
  <tableColumns count="4">
    <tableColumn name="Tahun" id="1"/>
    <tableColumn name="PDRB Sektor Pariwisata" id="2"/>
    <tableColumn name="Data Aktual PDRB" id="3"/>
    <tableColumn name="Galat" id="4"/>
  </tableColumns>
  <tableStyleInfo name="Uji B (Uji Penuh)-style 7" showColumnStripes="0" showFirstColumn="1" showLastColumn="1" showRowStripes="1"/>
</table>
</file>

<file path=xl/tables/table9.xml><?xml version="1.0" encoding="utf-8"?>
<table xmlns="http://schemas.openxmlformats.org/spreadsheetml/2006/main" ref="AJ1:AM8" displayName="Table12" name="Table12" id="12">
  <tableColumns count="4">
    <tableColumn name="Tahun" id="1"/>
    <tableColumn name="Investasi Sektor Pariwisata" id="2"/>
    <tableColumn name="Data Aktual Investasi" id="3"/>
    <tableColumn name="Galat" id="4"/>
  </tableColumns>
  <tableStyleInfo name="Uji B (Uji Penuh)-style 8" showColumnStripes="0" showFirstColumn="1" showLastColumn="1" showRowStripes="1"/>
</table>
</file>

<file path=xl/tables/table10.xml><?xml version="1.0" encoding="utf-8"?>
<table xmlns="http://schemas.openxmlformats.org/spreadsheetml/2006/main" ref="AO1:AR8" displayName="Table13" name="Table13" id="13">
  <tableColumns count="4">
    <tableColumn name="Tahun" id="1"/>
    <tableColumn name="Total Malam Menginap" id="2"/>
    <tableColumn name="Data Aktual Total malam menginap" id="3"/>
    <tableColumn name="Galat" id="4"/>
  </tableColumns>
  <tableStyleInfo name="Uji B (Uji Penuh)-style 9" showColumnStripes="0" showFirstColumn="1" showLastColumn="1" showRowStripes="1"/>
</table>
</file>

<file path=xl/tables/table11.xml><?xml version="1.0" encoding="utf-8"?>
<table xmlns="http://schemas.openxmlformats.org/spreadsheetml/2006/main" ref="A12:AA21" displayName="Table14" name="Table14" id="14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B (Uji Penuh)-style 10" showColumnStripes="0" showFirstColumn="1" showLastColumn="1" showRowStripes="1"/>
</table>
</file>

<file path=xl/tables/table12.xml><?xml version="1.0" encoding="utf-8"?>
<table xmlns="http://schemas.openxmlformats.org/spreadsheetml/2006/main" ref="A1:D6" displayName="Table2" name="Table2" id="2">
  <tableColumns count="4">
    <tableColumn name="Tahun" id="1"/>
    <tableColumn name="Jumlah Wisatawan (simulasi)" id="2"/>
    <tableColumn name="Jumlah Wisatawan (data)" id="3"/>
    <tableColumn name="Galat" id="4"/>
  </tableColumns>
  <tableStyleInfo name="Uji B Tanpa COVID-style" showColumnStripes="0" showFirstColumn="1" showLastColumn="1" showRowStripes="1"/>
</table>
</file>

<file path=xl/tables/table13.xml><?xml version="1.0" encoding="utf-8"?>
<table xmlns="http://schemas.openxmlformats.org/spreadsheetml/2006/main" ref="F1:I6" displayName="Table3" name="Table3" id="3">
  <tableColumns count="4">
    <tableColumn name="Tahun" id="1"/>
    <tableColumn name="Jumlah Hotel dan Akomodasi (simulasi)" id="2"/>
    <tableColumn name="Jumlah Hotel dan Akomodasi (data)" id="3"/>
    <tableColumn name="Galat" id="4"/>
  </tableColumns>
  <tableStyleInfo name="Uji B Tanpa COVID-style 2" showColumnStripes="0" showFirstColumn="1" showLastColumn="1" showRowStripes="1"/>
</table>
</file>

<file path=xl/tables/table14.xml><?xml version="1.0" encoding="utf-8"?>
<table xmlns="http://schemas.openxmlformats.org/spreadsheetml/2006/main" ref="A10:AA19" displayName="Table4" name="Table4" id="4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B Tanpa COVI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0.xml"/><Relationship Id="rId21" Type="http://schemas.openxmlformats.org/officeDocument/2006/relationships/table" Target="../tables/table1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2015.0</v>
      </c>
      <c r="B2" s="2">
        <v>1.47499587543139E7</v>
      </c>
      <c r="C2" s="2">
        <v>1165.0</v>
      </c>
      <c r="D2" s="2">
        <v>165.0</v>
      </c>
      <c r="E2" s="2">
        <v>254537.0</v>
      </c>
      <c r="F2" s="2">
        <v>43037.0049074862</v>
      </c>
      <c r="G2" s="2">
        <v>34.89</v>
      </c>
      <c r="H2" s="2">
        <v>10131.09</v>
      </c>
      <c r="I2" s="2">
        <v>53.0896</v>
      </c>
      <c r="J2" s="2">
        <v>5698325.0</v>
      </c>
    </row>
    <row r="3" ht="22.5" customHeight="1">
      <c r="A3" s="2">
        <v>2016.0</v>
      </c>
      <c r="B3" s="2">
        <v>1.50663094573418E7</v>
      </c>
      <c r="C3" s="2">
        <v>1170.0</v>
      </c>
      <c r="D3" s="2">
        <v>158.0</v>
      </c>
      <c r="E3" s="2">
        <v>263878.0</v>
      </c>
      <c r="F3" s="2">
        <v>44561.0784555117</v>
      </c>
      <c r="G3" s="2">
        <v>37.72</v>
      </c>
      <c r="H3" s="2">
        <v>10694.03</v>
      </c>
      <c r="I3" s="2">
        <v>373.8424</v>
      </c>
      <c r="J3" s="2">
        <v>6097324.0</v>
      </c>
    </row>
    <row r="4" ht="22.5" customHeight="1">
      <c r="A4" s="2">
        <v>2017.0</v>
      </c>
      <c r="B4" s="2">
        <v>1.52804571667941E7</v>
      </c>
      <c r="C4" s="2">
        <v>1179.0</v>
      </c>
      <c r="D4" s="2">
        <v>171.0</v>
      </c>
      <c r="E4" s="2">
        <v>273563.0</v>
      </c>
      <c r="F4" s="2">
        <v>50223.957001398</v>
      </c>
      <c r="G4" s="2">
        <v>45.08</v>
      </c>
      <c r="H4" s="2">
        <v>11347.59</v>
      </c>
      <c r="I4" s="2">
        <v>165.3915</v>
      </c>
      <c r="J4" s="2">
        <v>1.08999E7</v>
      </c>
    </row>
    <row r="5" ht="22.5" customHeight="1">
      <c r="A5" s="2">
        <v>2018.0</v>
      </c>
      <c r="B5" s="2">
        <v>1.83909711595411E7</v>
      </c>
      <c r="C5" s="2">
        <v>1617.0</v>
      </c>
      <c r="D5" s="2">
        <v>177.0</v>
      </c>
      <c r="E5" s="2">
        <v>354684.0</v>
      </c>
      <c r="F5" s="2">
        <v>56624.3602289948</v>
      </c>
      <c r="G5" s="2">
        <v>45.11</v>
      </c>
      <c r="H5" s="2">
        <v>12100.99</v>
      </c>
      <c r="I5" s="2">
        <v>568.3341</v>
      </c>
      <c r="J5" s="2">
        <v>1.0293319E7</v>
      </c>
    </row>
    <row r="6" ht="22.5" customHeight="1">
      <c r="A6" s="2">
        <v>2019.0</v>
      </c>
      <c r="B6" s="2">
        <v>2.0520104E7</v>
      </c>
      <c r="C6" s="2">
        <v>1817.0</v>
      </c>
      <c r="D6" s="2">
        <v>189.0</v>
      </c>
      <c r="E6" s="2">
        <v>334784.0</v>
      </c>
      <c r="F6" s="2">
        <v>63480.0442236269</v>
      </c>
      <c r="G6" s="2">
        <v>45.34</v>
      </c>
      <c r="H6" s="2">
        <v>13104.38</v>
      </c>
      <c r="I6" s="2">
        <v>741.4483</v>
      </c>
      <c r="J6" s="2">
        <v>1.3363923E7</v>
      </c>
    </row>
    <row r="7" ht="22.5" customHeight="1">
      <c r="A7" s="8">
        <v>2020.0</v>
      </c>
      <c r="B7" s="8">
        <v>1.9610135E7</v>
      </c>
      <c r="C7" s="8">
        <v>1848.0</v>
      </c>
      <c r="D7" s="8">
        <v>180.0</v>
      </c>
      <c r="E7" s="8">
        <v>313840.0</v>
      </c>
      <c r="F7" s="8">
        <v>58962.0411105434</v>
      </c>
      <c r="G7" s="8">
        <v>28.9</v>
      </c>
      <c r="H7" s="8">
        <v>10926.83</v>
      </c>
      <c r="I7" s="8">
        <v>489.6932</v>
      </c>
      <c r="J7" s="8">
        <v>4753098.0</v>
      </c>
    </row>
    <row r="8" ht="22.5" customHeight="1">
      <c r="A8" s="8">
        <v>2021.0</v>
      </c>
      <c r="B8" s="8">
        <v>2.28493945E7</v>
      </c>
      <c r="C8" s="8">
        <v>1696.0</v>
      </c>
      <c r="D8" s="8">
        <v>170.0</v>
      </c>
      <c r="E8" s="8">
        <v>310755.0</v>
      </c>
      <c r="F8" s="8">
        <v>59887.5260314565</v>
      </c>
      <c r="G8" s="8">
        <v>27.48</v>
      </c>
      <c r="H8" s="8">
        <v>12097.19</v>
      </c>
      <c r="I8" s="8">
        <v>848.8042</v>
      </c>
      <c r="J8" s="8">
        <v>7379577.0</v>
      </c>
    </row>
    <row r="9" ht="22.5" customHeight="1">
      <c r="A9" s="2">
        <v>2022.0</v>
      </c>
      <c r="B9" s="2">
        <v>2.5755726E7</v>
      </c>
      <c r="C9" s="2">
        <v>1818.0</v>
      </c>
      <c r="D9" s="2">
        <v>183.0</v>
      </c>
      <c r="E9" s="2">
        <v>395284.0</v>
      </c>
      <c r="F9" s="2">
        <v>57709.075808398</v>
      </c>
      <c r="G9" s="2">
        <v>44.99</v>
      </c>
      <c r="H9" s="2">
        <v>13672.58</v>
      </c>
      <c r="I9" s="2">
        <v>463.5886</v>
      </c>
      <c r="J9" s="2">
        <v>9267217.0</v>
      </c>
    </row>
    <row r="10" ht="22.5" customHeight="1">
      <c r="A10" s="2">
        <v>2023.0</v>
      </c>
      <c r="B10" s="2">
        <v>3.054258E7</v>
      </c>
      <c r="C10" s="2">
        <v>1820.0</v>
      </c>
      <c r="D10" s="2">
        <v>201.0</v>
      </c>
      <c r="E10" s="2">
        <v>359340.0</v>
      </c>
      <c r="F10" s="2">
        <v>75624.403529316</v>
      </c>
      <c r="G10" s="2">
        <v>44.77</v>
      </c>
      <c r="H10" s="2">
        <v>14809.2</v>
      </c>
      <c r="I10" s="2">
        <v>1175.2552</v>
      </c>
      <c r="J10" s="2">
        <v>1.1417702E7</v>
      </c>
    </row>
    <row r="11" ht="22.5" customHeight="1">
      <c r="A11" s="2">
        <v>2024.0</v>
      </c>
      <c r="B11" s="2">
        <v>3.8134536E7</v>
      </c>
      <c r="C11" s="2">
        <v>2000.0</v>
      </c>
      <c r="D11" s="2">
        <v>218.0</v>
      </c>
      <c r="E11" s="2">
        <v>350946.0</v>
      </c>
      <c r="F11" s="2">
        <v>73511.574651116</v>
      </c>
      <c r="G11" s="2">
        <v>42.17</v>
      </c>
      <c r="H11" s="2">
        <v>15873.81</v>
      </c>
      <c r="I11" s="2">
        <v>712.2835</v>
      </c>
      <c r="J11" s="2">
        <v>1.150354E7</v>
      </c>
    </row>
    <row r="12" ht="22.5" customHeight="1">
      <c r="A12" s="2">
        <v>2025.0</v>
      </c>
      <c r="B12" s="2">
        <v>4.0695654E7</v>
      </c>
      <c r="C12" s="2">
        <v>2291.0</v>
      </c>
      <c r="D12" s="2">
        <v>201.0</v>
      </c>
      <c r="E12" s="2">
        <v>364994.0</v>
      </c>
      <c r="F12" s="2">
        <v>55029.5352961885</v>
      </c>
      <c r="G12" s="2">
        <v>38.07</v>
      </c>
      <c r="H12" s="2">
        <v>16947.62</v>
      </c>
      <c r="I12" s="2">
        <v>1325.950399</v>
      </c>
      <c r="J12" s="2">
        <v>1.1954114E7</v>
      </c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ht="15.75" customHeight="1">
      <c r="A15" s="14" t="s">
        <v>38</v>
      </c>
      <c r="B15" s="16"/>
      <c r="C15" s="11"/>
      <c r="D15" s="11"/>
      <c r="E15" s="11"/>
      <c r="F15" s="11"/>
      <c r="G15" s="11"/>
      <c r="H15" s="11"/>
      <c r="I15" s="11"/>
      <c r="J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6" width="18.38"/>
    <col customWidth="1" min="7" max="7" width="21.38"/>
    <col customWidth="1" min="8" max="11" width="18.38"/>
    <col customWidth="1" min="12" max="12" width="20.0"/>
    <col customWidth="1" min="13" max="16" width="18.38"/>
    <col customWidth="1" min="17" max="17" width="19.5"/>
    <col customWidth="1" min="18" max="18" width="21.13"/>
    <col customWidth="1" min="19" max="19" width="18.38"/>
    <col customWidth="1" min="20" max="24" width="17.25"/>
    <col customWidth="1" min="25" max="26" width="14.63"/>
    <col customWidth="1" min="27" max="27" width="18.88"/>
    <col customWidth="1" min="28" max="28" width="18.25"/>
    <col customWidth="1" min="29" max="29" width="15.38"/>
    <col customWidth="1" min="32" max="32" width="21.63"/>
    <col customWidth="1" min="33" max="33" width="23.88"/>
    <col customWidth="1" min="34" max="34" width="21.63"/>
    <col customWidth="1" min="37" max="37" width="17.75"/>
    <col customWidth="1" min="38" max="38" width="18.25"/>
    <col customWidth="1" min="39" max="39" width="17.75"/>
    <col customWidth="1" min="42" max="44" width="19.13"/>
  </cols>
  <sheetData>
    <row r="1" ht="22.5" customHeight="1">
      <c r="A1" s="6" t="s">
        <v>0</v>
      </c>
      <c r="B1" s="7" t="s">
        <v>1</v>
      </c>
      <c r="C1" s="7" t="s">
        <v>21</v>
      </c>
      <c r="D1" s="6" t="s">
        <v>12</v>
      </c>
      <c r="E1" s="9"/>
      <c r="F1" s="6" t="s">
        <v>0</v>
      </c>
      <c r="G1" s="7" t="s">
        <v>2</v>
      </c>
      <c r="H1" s="7" t="s">
        <v>30</v>
      </c>
      <c r="I1" s="6" t="s">
        <v>12</v>
      </c>
      <c r="J1" s="9"/>
      <c r="K1" s="6" t="s">
        <v>0</v>
      </c>
      <c r="L1" s="7" t="s">
        <v>3</v>
      </c>
      <c r="M1" s="7" t="s">
        <v>31</v>
      </c>
      <c r="N1" s="6" t="s">
        <v>12</v>
      </c>
      <c r="O1" s="9"/>
      <c r="P1" s="6" t="s">
        <v>0</v>
      </c>
      <c r="Q1" s="7" t="s">
        <v>4</v>
      </c>
      <c r="R1" s="7" t="s">
        <v>32</v>
      </c>
      <c r="S1" s="6" t="s">
        <v>12</v>
      </c>
      <c r="T1" s="11"/>
      <c r="U1" s="6" t="s">
        <v>0</v>
      </c>
      <c r="V1" s="7" t="s">
        <v>5</v>
      </c>
      <c r="W1" s="7" t="s">
        <v>33</v>
      </c>
      <c r="X1" s="6" t="s">
        <v>12</v>
      </c>
      <c r="Y1" s="11"/>
      <c r="Z1" s="6" t="s">
        <v>0</v>
      </c>
      <c r="AA1" s="7" t="s">
        <v>6</v>
      </c>
      <c r="AB1" s="7" t="s">
        <v>34</v>
      </c>
      <c r="AC1" s="6" t="s">
        <v>12</v>
      </c>
      <c r="AE1" s="6" t="s">
        <v>0</v>
      </c>
      <c r="AF1" s="7" t="s">
        <v>7</v>
      </c>
      <c r="AG1" s="7" t="s">
        <v>35</v>
      </c>
      <c r="AH1" s="6" t="s">
        <v>12</v>
      </c>
      <c r="AJ1" s="6" t="s">
        <v>0</v>
      </c>
      <c r="AK1" s="7" t="s">
        <v>8</v>
      </c>
      <c r="AL1" s="7" t="s">
        <v>36</v>
      </c>
      <c r="AM1" s="6" t="s">
        <v>12</v>
      </c>
      <c r="AO1" s="6" t="s">
        <v>0</v>
      </c>
      <c r="AP1" s="7" t="s">
        <v>9</v>
      </c>
      <c r="AQ1" s="7" t="s">
        <v>37</v>
      </c>
      <c r="AR1" s="6" t="s">
        <v>12</v>
      </c>
    </row>
    <row r="2" ht="22.5" customHeight="1">
      <c r="A2" s="10">
        <v>2019.0</v>
      </c>
      <c r="B2" s="13">
        <v>2.05201E7</v>
      </c>
      <c r="C2" s="13">
        <f>'Data Pembanding'!B6</f>
        <v>20520104</v>
      </c>
      <c r="D2" s="17">
        <f t="shared" ref="D2:D8" si="1">B2-C2</f>
        <v>-4</v>
      </c>
      <c r="E2" s="11"/>
      <c r="F2" s="10">
        <v>2019.0</v>
      </c>
      <c r="G2" s="18">
        <v>1817.0</v>
      </c>
      <c r="H2" s="18">
        <v>1817.0</v>
      </c>
      <c r="I2" s="19">
        <f t="shared" ref="I2:I8" si="2">G2-H2</f>
        <v>0</v>
      </c>
      <c r="J2" s="11"/>
      <c r="K2" s="10">
        <v>2019.0</v>
      </c>
      <c r="L2" s="18">
        <v>189.0</v>
      </c>
      <c r="M2" s="18">
        <v>189.0</v>
      </c>
      <c r="N2" s="17">
        <f t="shared" ref="N2:N8" si="3">L2-M2</f>
        <v>0</v>
      </c>
      <c r="O2" s="11"/>
      <c r="P2" s="10">
        <v>2019.0</v>
      </c>
      <c r="Q2" s="18">
        <v>334784.0</v>
      </c>
      <c r="R2" s="18">
        <v>334784.0</v>
      </c>
      <c r="S2" s="17">
        <f t="shared" ref="S2:S8" si="4">Q2-R2</f>
        <v>0</v>
      </c>
      <c r="T2" s="11"/>
      <c r="U2" s="10">
        <v>2019.0</v>
      </c>
      <c r="V2" s="18">
        <v>63480.0</v>
      </c>
      <c r="W2" s="18">
        <v>63480.0442236269</v>
      </c>
      <c r="X2" s="17">
        <f t="shared" ref="X2:X8" si="5">V2-W2</f>
        <v>-0.0442236269</v>
      </c>
      <c r="Y2" s="11"/>
      <c r="Z2" s="10">
        <v>2019.0</v>
      </c>
      <c r="AA2" s="13">
        <v>0.22737</v>
      </c>
      <c r="AB2" s="13">
        <f>'Data Pembanding'!G6/100</f>
        <v>0.4534</v>
      </c>
      <c r="AC2" s="19">
        <f t="shared" ref="AC2:AC8" si="6">AA2-AB2</f>
        <v>-0.22603</v>
      </c>
      <c r="AE2" s="10">
        <v>2019.0</v>
      </c>
      <c r="AF2" s="13">
        <v>8545.55</v>
      </c>
      <c r="AG2" s="13">
        <v>13104.38</v>
      </c>
      <c r="AH2" s="19">
        <f t="shared" ref="AH2:AH8" si="7">AF2-AG2</f>
        <v>-4558.83</v>
      </c>
      <c r="AJ2" s="10">
        <v>2019.0</v>
      </c>
      <c r="AK2" s="22">
        <v>417.172</v>
      </c>
      <c r="AL2" s="22">
        <v>741.4483</v>
      </c>
      <c r="AM2" s="23">
        <f t="shared" ref="AM2:AM8" si="8">AK2-AL2</f>
        <v>-324.2763</v>
      </c>
      <c r="AO2" s="10">
        <v>2019.0</v>
      </c>
      <c r="AP2" s="13">
        <v>6026270.0</v>
      </c>
      <c r="AQ2" s="13">
        <v>1.3363923E7</v>
      </c>
      <c r="AR2" s="17">
        <f t="shared" ref="AR2:AR8" si="9">AP2-AQ2</f>
        <v>-7337653</v>
      </c>
    </row>
    <row r="3" ht="22.5" customHeight="1">
      <c r="A3" s="10">
        <v>2020.0</v>
      </c>
      <c r="B3" s="13">
        <v>2.18134E7</v>
      </c>
      <c r="C3" s="13">
        <f>'Data Pembanding'!B7</f>
        <v>19610135</v>
      </c>
      <c r="D3" s="17">
        <f t="shared" si="1"/>
        <v>2203265</v>
      </c>
      <c r="E3" s="11"/>
      <c r="F3" s="10">
        <v>2020.0</v>
      </c>
      <c r="G3" s="18">
        <v>1726.15</v>
      </c>
      <c r="H3" s="18">
        <v>1848.0</v>
      </c>
      <c r="I3" s="19">
        <f t="shared" si="2"/>
        <v>-121.85</v>
      </c>
      <c r="J3" s="11"/>
      <c r="K3" s="10">
        <v>2020.0</v>
      </c>
      <c r="L3" s="18">
        <v>189.378</v>
      </c>
      <c r="M3" s="18">
        <v>180.0</v>
      </c>
      <c r="N3" s="17">
        <f t="shared" si="3"/>
        <v>9.378</v>
      </c>
      <c r="O3" s="11"/>
      <c r="P3" s="10">
        <v>2020.0</v>
      </c>
      <c r="Q3" s="18">
        <v>324740.0</v>
      </c>
      <c r="R3" s="18">
        <v>313840.0</v>
      </c>
      <c r="S3" s="17">
        <f t="shared" si="4"/>
        <v>10900</v>
      </c>
      <c r="T3" s="11"/>
      <c r="U3" s="10">
        <v>2020.0</v>
      </c>
      <c r="V3" s="18">
        <v>65698.6</v>
      </c>
      <c r="W3" s="18">
        <v>58962.0411105434</v>
      </c>
      <c r="X3" s="17">
        <f t="shared" si="5"/>
        <v>6736.558889</v>
      </c>
      <c r="Y3" s="11"/>
      <c r="Z3" s="10">
        <v>2020.0</v>
      </c>
      <c r="AA3" s="13">
        <v>0.254422</v>
      </c>
      <c r="AB3" s="13">
        <f>'Data Pembanding'!G7/100</f>
        <v>0.289</v>
      </c>
      <c r="AC3" s="19">
        <f t="shared" si="6"/>
        <v>-0.034578</v>
      </c>
      <c r="AE3" s="10">
        <v>2020.0</v>
      </c>
      <c r="AF3" s="13">
        <v>9084.16</v>
      </c>
      <c r="AG3" s="13">
        <v>10926.83</v>
      </c>
      <c r="AH3" s="19">
        <f t="shared" si="7"/>
        <v>-1842.67</v>
      </c>
      <c r="AJ3" s="10">
        <v>2020.0</v>
      </c>
      <c r="AK3" s="22">
        <v>443.465</v>
      </c>
      <c r="AL3" s="22">
        <v>489.6932</v>
      </c>
      <c r="AM3" s="23">
        <f t="shared" si="8"/>
        <v>-46.2282</v>
      </c>
      <c r="AO3" s="10">
        <v>2020.0</v>
      </c>
      <c r="AP3" s="13">
        <v>6406100.0</v>
      </c>
      <c r="AQ3" s="13">
        <v>4753098.0</v>
      </c>
      <c r="AR3" s="17">
        <f t="shared" si="9"/>
        <v>1653002</v>
      </c>
    </row>
    <row r="4" ht="22.5" customHeight="1">
      <c r="A4" s="10">
        <v>2021.0</v>
      </c>
      <c r="B4" s="13">
        <v>2.31773E7</v>
      </c>
      <c r="C4" s="13">
        <f>'Data Pembanding'!B8</f>
        <v>22849394.5</v>
      </c>
      <c r="D4" s="17">
        <f t="shared" si="1"/>
        <v>327905.5</v>
      </c>
      <c r="E4" s="11"/>
      <c r="F4" s="10">
        <v>2021.0</v>
      </c>
      <c r="G4" s="18">
        <v>1639.84</v>
      </c>
      <c r="H4" s="18">
        <v>1696.0</v>
      </c>
      <c r="I4" s="19">
        <f t="shared" si="2"/>
        <v>-56.16</v>
      </c>
      <c r="J4" s="11"/>
      <c r="K4" s="10">
        <v>2021.0</v>
      </c>
      <c r="L4" s="18">
        <v>190.014</v>
      </c>
      <c r="M4" s="18">
        <v>170.0</v>
      </c>
      <c r="N4" s="17">
        <f t="shared" si="3"/>
        <v>20.014</v>
      </c>
      <c r="O4" s="11"/>
      <c r="P4" s="10">
        <v>2021.0</v>
      </c>
      <c r="Q4" s="18">
        <v>314998.0</v>
      </c>
      <c r="R4" s="18">
        <v>310755.0</v>
      </c>
      <c r="S4" s="17">
        <f t="shared" si="4"/>
        <v>4243</v>
      </c>
      <c r="T4" s="11"/>
      <c r="U4" s="10">
        <v>2021.0</v>
      </c>
      <c r="V4" s="18">
        <v>67974.6</v>
      </c>
      <c r="W4" s="18">
        <v>59887.5260314565</v>
      </c>
      <c r="X4" s="17">
        <f t="shared" si="5"/>
        <v>8087.073969</v>
      </c>
      <c r="Y4" s="11"/>
      <c r="Z4" s="10">
        <v>2021.0</v>
      </c>
      <c r="AA4" s="13">
        <v>0.284557</v>
      </c>
      <c r="AB4" s="13">
        <f>'Data Pembanding'!G8/100</f>
        <v>0.2748</v>
      </c>
      <c r="AC4" s="19">
        <f t="shared" si="6"/>
        <v>0.009757</v>
      </c>
      <c r="AE4" s="10">
        <v>2021.0</v>
      </c>
      <c r="AF4" s="13">
        <v>9652.12</v>
      </c>
      <c r="AG4" s="13">
        <v>12097.19</v>
      </c>
      <c r="AH4" s="19">
        <f t="shared" si="7"/>
        <v>-2445.07</v>
      </c>
      <c r="AJ4" s="10">
        <v>2021.0</v>
      </c>
      <c r="AK4" s="22">
        <v>471.191</v>
      </c>
      <c r="AL4" s="22">
        <v>848.8042</v>
      </c>
      <c r="AM4" s="23">
        <f t="shared" si="8"/>
        <v>-377.6132</v>
      </c>
      <c r="AO4" s="10">
        <v>2021.0</v>
      </c>
      <c r="AP4" s="13">
        <v>6806620.0</v>
      </c>
      <c r="AQ4" s="13">
        <v>7379577.0</v>
      </c>
      <c r="AR4" s="17">
        <f t="shared" si="9"/>
        <v>-572957</v>
      </c>
    </row>
    <row r="5" ht="22.5" customHeight="1">
      <c r="A5" s="10">
        <v>2022.0</v>
      </c>
      <c r="B5" s="13">
        <v>2.46153E7</v>
      </c>
      <c r="C5" s="13">
        <f>'Data Pembanding'!B9</f>
        <v>25755726</v>
      </c>
      <c r="D5" s="17">
        <f t="shared" si="1"/>
        <v>-1140426</v>
      </c>
      <c r="E5" s="11"/>
      <c r="F5" s="10">
        <v>2022.0</v>
      </c>
      <c r="G5" s="18">
        <v>1568.27</v>
      </c>
      <c r="H5" s="18">
        <v>1818.0</v>
      </c>
      <c r="I5" s="19">
        <f t="shared" si="2"/>
        <v>-249.73</v>
      </c>
      <c r="J5" s="11"/>
      <c r="K5" s="10">
        <v>2022.0</v>
      </c>
      <c r="L5" s="18">
        <v>190.91</v>
      </c>
      <c r="M5" s="18">
        <v>183.0</v>
      </c>
      <c r="N5" s="17">
        <f t="shared" si="3"/>
        <v>7.91</v>
      </c>
      <c r="O5" s="11"/>
      <c r="P5" s="10">
        <v>2022.0</v>
      </c>
      <c r="Q5" s="18">
        <v>305548.0</v>
      </c>
      <c r="R5" s="18">
        <v>395284.0</v>
      </c>
      <c r="S5" s="17">
        <f t="shared" si="4"/>
        <v>-89736</v>
      </c>
      <c r="T5" s="11"/>
      <c r="U5" s="10">
        <v>2022.0</v>
      </c>
      <c r="V5" s="18">
        <v>70309.0</v>
      </c>
      <c r="W5" s="18">
        <v>57709.075808398</v>
      </c>
      <c r="X5" s="17">
        <f t="shared" si="5"/>
        <v>12599.92419</v>
      </c>
      <c r="Y5" s="11"/>
      <c r="Z5" s="10">
        <v>2022.0</v>
      </c>
      <c r="AA5" s="13">
        <v>0.316005</v>
      </c>
      <c r="AB5" s="13">
        <f>'Data Pembanding'!G9/100</f>
        <v>0.4499</v>
      </c>
      <c r="AC5" s="19">
        <f t="shared" si="6"/>
        <v>-0.133895</v>
      </c>
      <c r="AE5" s="10">
        <v>2022.0</v>
      </c>
      <c r="AF5" s="13">
        <v>10251.0</v>
      </c>
      <c r="AG5" s="13">
        <v>13672.58</v>
      </c>
      <c r="AH5" s="19">
        <f t="shared" si="7"/>
        <v>-3421.58</v>
      </c>
      <c r="AJ5" s="10">
        <v>2022.0</v>
      </c>
      <c r="AK5" s="22">
        <v>500.427</v>
      </c>
      <c r="AL5" s="22">
        <v>463.5886</v>
      </c>
      <c r="AM5" s="23">
        <f t="shared" si="8"/>
        <v>36.8384</v>
      </c>
      <c r="AO5" s="10">
        <v>2022.0</v>
      </c>
      <c r="AP5" s="13">
        <v>7228940.0</v>
      </c>
      <c r="AQ5" s="13">
        <v>9267217.0</v>
      </c>
      <c r="AR5" s="17">
        <f t="shared" si="9"/>
        <v>-2038277</v>
      </c>
    </row>
    <row r="6" ht="22.5" customHeight="1">
      <c r="A6" s="10">
        <v>2023.0</v>
      </c>
      <c r="B6" s="13">
        <v>2.61315E7</v>
      </c>
      <c r="C6" s="13">
        <f>'Data Pembanding'!B10</f>
        <v>30542580</v>
      </c>
      <c r="D6" s="17">
        <f t="shared" si="1"/>
        <v>-4411080</v>
      </c>
      <c r="E6" s="11"/>
      <c r="F6" s="10">
        <v>2023.0</v>
      </c>
      <c r="G6" s="18">
        <v>1537.34</v>
      </c>
      <c r="H6" s="18">
        <v>1820.0</v>
      </c>
      <c r="I6" s="19">
        <f t="shared" si="2"/>
        <v>-282.66</v>
      </c>
      <c r="J6" s="11"/>
      <c r="K6" s="10">
        <v>2023.0</v>
      </c>
      <c r="L6" s="18">
        <v>192.069</v>
      </c>
      <c r="M6" s="18">
        <v>201.0</v>
      </c>
      <c r="N6" s="17">
        <f t="shared" si="3"/>
        <v>-8.931</v>
      </c>
      <c r="O6" s="11"/>
      <c r="P6" s="10">
        <v>2023.0</v>
      </c>
      <c r="Q6" s="18">
        <v>296382.0</v>
      </c>
      <c r="R6" s="18">
        <v>359340.0</v>
      </c>
      <c r="S6" s="17">
        <f t="shared" si="4"/>
        <v>-62958</v>
      </c>
      <c r="T6" s="11"/>
      <c r="U6" s="10">
        <v>2023.0</v>
      </c>
      <c r="V6" s="18">
        <v>72704.5</v>
      </c>
      <c r="W6" s="18">
        <v>75624.403529316</v>
      </c>
      <c r="X6" s="17">
        <f t="shared" si="5"/>
        <v>-2919.903529</v>
      </c>
      <c r="Y6" s="11"/>
      <c r="Z6" s="10">
        <v>2023.0</v>
      </c>
      <c r="AA6" s="13">
        <v>0.342219</v>
      </c>
      <c r="AB6" s="13">
        <f>'Data Pembanding'!G10/100</f>
        <v>0.4477</v>
      </c>
      <c r="AC6" s="19">
        <f t="shared" si="6"/>
        <v>-0.105481</v>
      </c>
      <c r="AE6" s="10">
        <v>2023.0</v>
      </c>
      <c r="AF6" s="13">
        <v>10882.4</v>
      </c>
      <c r="AG6" s="13">
        <v>14809.2</v>
      </c>
      <c r="AH6" s="19">
        <f t="shared" si="7"/>
        <v>-3926.8</v>
      </c>
      <c r="AJ6" s="10">
        <v>2023.0</v>
      </c>
      <c r="AK6" s="22">
        <v>531.251</v>
      </c>
      <c r="AL6" s="22">
        <v>1175.2552</v>
      </c>
      <c r="AM6" s="23">
        <f t="shared" si="8"/>
        <v>-644.0042</v>
      </c>
      <c r="AO6" s="10">
        <v>2023.0</v>
      </c>
      <c r="AP6" s="13">
        <v>7674210.0</v>
      </c>
      <c r="AQ6" s="13">
        <v>1.1417702E7</v>
      </c>
      <c r="AR6" s="17">
        <f t="shared" si="9"/>
        <v>-3743492</v>
      </c>
    </row>
    <row r="7" ht="22.5" customHeight="1">
      <c r="A7" s="10">
        <v>2024.0</v>
      </c>
      <c r="B7" s="13">
        <v>2.77301E7</v>
      </c>
      <c r="C7" s="13">
        <f>'Data Pembanding'!B11</f>
        <v>38134536</v>
      </c>
      <c r="D7" s="17">
        <f t="shared" si="1"/>
        <v>-10404436</v>
      </c>
      <c r="E7" s="11"/>
      <c r="F7" s="10">
        <v>2024.0</v>
      </c>
      <c r="G7" s="18">
        <v>1543.1</v>
      </c>
      <c r="H7" s="18">
        <v>2000.0</v>
      </c>
      <c r="I7" s="19">
        <f t="shared" si="2"/>
        <v>-456.9</v>
      </c>
      <c r="J7" s="11"/>
      <c r="K7" s="10">
        <v>2024.0</v>
      </c>
      <c r="L7" s="18">
        <v>193.494</v>
      </c>
      <c r="M7" s="18">
        <v>218.0</v>
      </c>
      <c r="N7" s="17">
        <f t="shared" si="3"/>
        <v>-24.506</v>
      </c>
      <c r="O7" s="11"/>
      <c r="P7" s="10">
        <v>2024.0</v>
      </c>
      <c r="Q7" s="18">
        <v>287490.0</v>
      </c>
      <c r="R7" s="18">
        <v>350946.0</v>
      </c>
      <c r="S7" s="17">
        <f t="shared" si="4"/>
        <v>-63456</v>
      </c>
      <c r="T7" s="11"/>
      <c r="U7" s="10">
        <v>2024.0</v>
      </c>
      <c r="V7" s="18">
        <v>75160.6</v>
      </c>
      <c r="W7" s="18">
        <v>73511.574651116</v>
      </c>
      <c r="X7" s="17">
        <f t="shared" si="5"/>
        <v>1649.025349</v>
      </c>
      <c r="Y7" s="11"/>
      <c r="Z7" s="10">
        <v>2024.0</v>
      </c>
      <c r="AA7" s="13">
        <v>0.361798</v>
      </c>
      <c r="AB7" s="13">
        <f>'Data Pembanding'!G11/100</f>
        <v>0.4217</v>
      </c>
      <c r="AC7" s="19">
        <f t="shared" si="6"/>
        <v>-0.059902</v>
      </c>
      <c r="AE7" s="10">
        <v>2024.0</v>
      </c>
      <c r="AF7" s="13">
        <v>11548.1</v>
      </c>
      <c r="AG7" s="13">
        <v>15873.81</v>
      </c>
      <c r="AH7" s="19">
        <f t="shared" si="7"/>
        <v>-4325.71</v>
      </c>
      <c r="AJ7" s="10">
        <v>2024.0</v>
      </c>
      <c r="AK7" s="22">
        <v>563.75</v>
      </c>
      <c r="AL7" s="22">
        <v>712.2835</v>
      </c>
      <c r="AM7" s="23">
        <f t="shared" si="8"/>
        <v>-148.5335</v>
      </c>
      <c r="AO7" s="10">
        <v>2024.0</v>
      </c>
      <c r="AP7" s="13">
        <v>8143680.0</v>
      </c>
      <c r="AQ7" s="13">
        <v>1.150354E7</v>
      </c>
      <c r="AR7" s="17">
        <f t="shared" si="9"/>
        <v>-3359860</v>
      </c>
    </row>
    <row r="8" ht="22.5" customHeight="1">
      <c r="A8" s="10">
        <v>2025.0</v>
      </c>
      <c r="B8" s="13">
        <v>2.94155E7</v>
      </c>
      <c r="C8" s="13">
        <f>'Data Pembanding'!B12</f>
        <v>40695654</v>
      </c>
      <c r="D8" s="17">
        <f t="shared" si="1"/>
        <v>-11280154</v>
      </c>
      <c r="E8" s="11"/>
      <c r="F8" s="10">
        <v>2025.0</v>
      </c>
      <c r="G8" s="18">
        <v>1579.17</v>
      </c>
      <c r="H8" s="18">
        <v>2291.0</v>
      </c>
      <c r="I8" s="19">
        <f t="shared" si="2"/>
        <v>-711.83</v>
      </c>
      <c r="J8" s="11"/>
      <c r="K8" s="10">
        <v>2025.0</v>
      </c>
      <c r="L8" s="18">
        <v>195.19</v>
      </c>
      <c r="M8" s="18">
        <v>201.0</v>
      </c>
      <c r="N8" s="17">
        <f t="shared" si="3"/>
        <v>-5.81</v>
      </c>
      <c r="O8" s="11"/>
      <c r="P8" s="10">
        <v>2025.0</v>
      </c>
      <c r="Q8" s="18">
        <v>278866.0</v>
      </c>
      <c r="R8" s="18">
        <v>364994.0</v>
      </c>
      <c r="S8" s="17">
        <f t="shared" si="4"/>
        <v>-86128</v>
      </c>
      <c r="T8" s="11"/>
      <c r="U8" s="10">
        <v>2025.0</v>
      </c>
      <c r="V8" s="18">
        <v>77676.7</v>
      </c>
      <c r="W8" s="18">
        <v>55029.5352961885</v>
      </c>
      <c r="X8" s="17">
        <f t="shared" si="5"/>
        <v>22647.1647</v>
      </c>
      <c r="Y8" s="11"/>
      <c r="Z8" s="10">
        <v>2025.0</v>
      </c>
      <c r="AA8" s="13">
        <v>0.375023</v>
      </c>
      <c r="AB8" s="13">
        <f>'Data Pembanding'!G12/100</f>
        <v>0.3807</v>
      </c>
      <c r="AC8" s="19">
        <f t="shared" si="6"/>
        <v>-0.005677</v>
      </c>
      <c r="AE8" s="10">
        <v>2025.0</v>
      </c>
      <c r="AF8" s="13">
        <v>12250.0</v>
      </c>
      <c r="AG8" s="13">
        <v>16947.62</v>
      </c>
      <c r="AH8" s="19">
        <f t="shared" si="7"/>
        <v>-4697.62</v>
      </c>
      <c r="AJ8" s="10">
        <v>2025.0</v>
      </c>
      <c r="AK8" s="22">
        <v>598.014</v>
      </c>
      <c r="AL8" s="22">
        <v>1325.950399</v>
      </c>
      <c r="AM8" s="23">
        <f t="shared" si="8"/>
        <v>-727.936399</v>
      </c>
      <c r="AO8" s="10">
        <v>2025.0</v>
      </c>
      <c r="AP8" s="13">
        <v>8638650.0</v>
      </c>
      <c r="AQ8" s="13">
        <v>1.1954114E7</v>
      </c>
      <c r="AR8" s="17">
        <f t="shared" si="9"/>
        <v>-3315464</v>
      </c>
    </row>
    <row r="9" ht="15.75" customHeight="1">
      <c r="A9" s="28"/>
      <c r="B9" s="9"/>
      <c r="C9" s="29"/>
      <c r="D9" s="29"/>
      <c r="E9" s="29"/>
      <c r="F9" s="29"/>
      <c r="G9" s="29"/>
      <c r="H9" s="29"/>
      <c r="I9" s="29"/>
      <c r="J9" s="29"/>
      <c r="K9" s="29"/>
      <c r="L9" s="11"/>
      <c r="M9" s="11"/>
      <c r="N9" s="11"/>
      <c r="O9" s="11"/>
      <c r="P9" s="11"/>
      <c r="Q9" s="11"/>
      <c r="R9" s="11"/>
      <c r="S9" s="30"/>
      <c r="T9" s="11"/>
      <c r="U9" s="11"/>
      <c r="V9" s="11"/>
      <c r="W9" s="11"/>
      <c r="X9" s="11"/>
      <c r="Y9" s="11"/>
      <c r="Z9" s="11"/>
      <c r="AA9" s="11"/>
      <c r="AB9" s="11"/>
      <c r="AC9" s="11"/>
      <c r="AF9" s="11"/>
      <c r="AG9" s="11"/>
      <c r="AH9" s="11"/>
      <c r="AK9" s="11"/>
      <c r="AL9" s="11"/>
      <c r="AM9" s="11"/>
      <c r="AP9" s="11"/>
      <c r="AQ9" s="11"/>
      <c r="AR9" s="11"/>
    </row>
    <row r="10" ht="15.75" customHeight="1">
      <c r="A10" s="31" t="s">
        <v>39</v>
      </c>
      <c r="B10" s="9"/>
      <c r="C10" s="29"/>
      <c r="D10" s="29"/>
      <c r="E10" s="29"/>
      <c r="F10" s="29"/>
      <c r="G10" s="29"/>
      <c r="H10" s="29"/>
      <c r="I10" s="29"/>
      <c r="J10" s="29"/>
      <c r="K10" s="29"/>
      <c r="L10" s="11"/>
      <c r="M10" s="11"/>
      <c r="N10" s="11"/>
      <c r="O10" s="11"/>
      <c r="P10" s="11"/>
      <c r="Q10" s="11"/>
      <c r="R10" s="11"/>
      <c r="S10" s="30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F10" s="11"/>
      <c r="AG10" s="11"/>
      <c r="AH10" s="11"/>
      <c r="AK10" s="11"/>
      <c r="AL10" s="11"/>
      <c r="AM10" s="11"/>
      <c r="AP10" s="11"/>
      <c r="AQ10" s="11"/>
      <c r="AR10" s="11"/>
    </row>
    <row r="11" ht="22.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F11" s="11"/>
      <c r="AG11" s="11"/>
      <c r="AH11" s="11"/>
      <c r="AK11" s="11"/>
      <c r="AL11" s="11"/>
      <c r="AM11" s="11"/>
      <c r="AP11" s="11"/>
      <c r="AQ11" s="11"/>
      <c r="AR11" s="11"/>
    </row>
    <row r="12" ht="22.5" customHeight="1">
      <c r="A12" s="34" t="s">
        <v>41</v>
      </c>
      <c r="B12" s="34" t="s">
        <v>42</v>
      </c>
      <c r="C12" s="34" t="s">
        <v>43</v>
      </c>
      <c r="D12" s="34" t="s">
        <v>44</v>
      </c>
      <c r="E12" s="34" t="s">
        <v>45</v>
      </c>
      <c r="F12" s="34" t="s">
        <v>46</v>
      </c>
      <c r="G12" s="34" t="s">
        <v>47</v>
      </c>
      <c r="H12" s="34" t="s">
        <v>48</v>
      </c>
      <c r="I12" s="34" t="s">
        <v>49</v>
      </c>
      <c r="J12" s="34" t="s">
        <v>50</v>
      </c>
      <c r="K12" s="34" t="s">
        <v>51</v>
      </c>
      <c r="L12" s="34" t="s">
        <v>52</v>
      </c>
      <c r="M12" s="34" t="s">
        <v>53</v>
      </c>
      <c r="N12" s="34" t="s">
        <v>54</v>
      </c>
      <c r="O12" s="34" t="s">
        <v>55</v>
      </c>
      <c r="P12" s="34" t="s">
        <v>56</v>
      </c>
      <c r="Q12" s="34" t="s">
        <v>57</v>
      </c>
      <c r="R12" s="34" t="s">
        <v>58</v>
      </c>
      <c r="S12" s="34" t="s">
        <v>59</v>
      </c>
      <c r="T12" s="36" t="s">
        <v>60</v>
      </c>
      <c r="U12" s="36" t="s">
        <v>61</v>
      </c>
      <c r="V12" s="36" t="s">
        <v>62</v>
      </c>
      <c r="W12" s="36" t="s">
        <v>63</v>
      </c>
      <c r="X12" s="36" t="s">
        <v>64</v>
      </c>
      <c r="Y12" s="36" t="s">
        <v>65</v>
      </c>
      <c r="Z12" s="36" t="s">
        <v>66</v>
      </c>
      <c r="AA12" s="36" t="s">
        <v>67</v>
      </c>
      <c r="AB12" s="37"/>
      <c r="AC12" s="37"/>
      <c r="AD12" s="38"/>
      <c r="AE12" s="38"/>
      <c r="AF12" s="37"/>
      <c r="AG12" s="37"/>
      <c r="AH12" s="37"/>
      <c r="AI12" s="38"/>
      <c r="AJ12" s="38"/>
      <c r="AK12" s="37"/>
      <c r="AL12" s="37"/>
      <c r="AM12" s="37"/>
      <c r="AN12" s="38"/>
      <c r="AO12" s="38"/>
      <c r="AP12" s="37"/>
      <c r="AQ12" s="37"/>
      <c r="AR12" s="37"/>
    </row>
    <row r="13" ht="22.5" customHeight="1">
      <c r="A13" s="39" t="s">
        <v>1</v>
      </c>
      <c r="B13" s="41">
        <f>AVERAGE(C2:C8)</f>
        <v>28301161.36</v>
      </c>
      <c r="C13" s="41">
        <f>AVERAGE(B2:B8)</f>
        <v>24771885.71</v>
      </c>
      <c r="D13" s="41">
        <f>_xlfn.STDEV.P(C2:C8)</f>
        <v>7815940.287</v>
      </c>
      <c r="E13" s="41">
        <f>_xlfn.STDEV.P(B2:B8)</f>
        <v>2965522.805</v>
      </c>
      <c r="F13" s="41">
        <f>CORREL(C2:C8,B2:B8)</f>
        <v>0.971223436</v>
      </c>
      <c r="G13" s="41">
        <f t="shared" ref="G13:G21" si="10">ABS(C13-B13)/ABS(B13)</f>
        <v>0.1247042691</v>
      </c>
      <c r="H13" s="41">
        <f t="shared" ref="H13:H21" si="11">ABS(E13-D13)/D13</f>
        <v>0.620580161</v>
      </c>
      <c r="I13" s="41">
        <f>_xlfn.STDEV.P(D2:D8)/(D13+E13)</f>
        <v>0.4624635893</v>
      </c>
      <c r="J13" s="41">
        <f t="shared" ref="J13:J21" si="12">(C13-B13)^2</f>
        <v>12455786563265</v>
      </c>
      <c r="K13" s="41">
        <f t="shared" ref="K13:K21" si="13">(E13-D13)^2</f>
        <v>23526549748735</v>
      </c>
      <c r="L13" s="41">
        <f t="shared" ref="L13:L21" si="14">2*(1-F13)*E13*D13</f>
        <v>1333986494694</v>
      </c>
      <c r="M13" s="41">
        <f t="shared" ref="M13:M21" si="15">J13/(J13+K13+L13)</f>
        <v>0.3337892275</v>
      </c>
      <c r="N13" s="41">
        <f t="shared" ref="N13:N21" si="16">K13/(J13+K13+L13)</f>
        <v>0.6304627032</v>
      </c>
      <c r="O13" s="41">
        <f t="shared" ref="O13:O21" si="17">L13/(J13+K13+L13)</f>
        <v>0.03574806933</v>
      </c>
      <c r="P13" s="41">
        <f>SUMPRODUCT(ABS(D2:D8/C2:C8))/COUNT(C2:C8)</f>
        <v>0.1236321506</v>
      </c>
      <c r="Q13" s="43" t="str">
        <f t="shared" ref="Q13:Q21" si="18">IF(G13&lt;=0.05,"Lolos","Tidak")</f>
        <v>Tidak</v>
      </c>
      <c r="R13" s="43" t="str">
        <f t="shared" ref="R13:R21" si="19">IF(H13&lt;=0.3,"Lolos","Tidak")</f>
        <v>Tidak</v>
      </c>
      <c r="S13" s="43" t="str">
        <f t="shared" ref="S13:S21" si="20">IF(I13&lt;0.4,"Baik",IF(I13&lt;=0.7,"Cukup","Kurang"))</f>
        <v>Cukup</v>
      </c>
      <c r="T13" s="45">
        <f>SLOPE(C2:C8,A2:A8)</f>
        <v>3759594.196</v>
      </c>
      <c r="U13" s="45">
        <f>SLOPE(B2:B8,A2:A8)</f>
        <v>1481207.143</v>
      </c>
      <c r="V13" s="45">
        <f>STEYX(C2:C8,A2:A8)^2/DEVSQ(A2:A8)</f>
        <v>227536424428</v>
      </c>
      <c r="W13" s="45">
        <f>STEYX(B2:B8,A2:A8)^2/DEVSQ(A2:A8)</f>
        <v>921355479.6</v>
      </c>
      <c r="X13" s="45">
        <f t="shared" ref="X13:X21" si="21">ABS(U13-T13)/SQRT(V13+W13)</f>
        <v>4.76677363</v>
      </c>
      <c r="Y13" s="45">
        <f>_xlfn.T.INV.2T(0.05,2*COUNT(A2:A8)-4)</f>
        <v>2.228138852</v>
      </c>
      <c r="Z13" s="46" t="str">
        <f t="shared" ref="Z13:Z21" si="22">IF(SIGN(T13)=SIGN(U13),"Sama","Berlawanan")</f>
        <v>Sama</v>
      </c>
      <c r="AA13" s="46" t="str">
        <f t="shared" ref="AA13:AA21" si="23">IF(Z13="Berlawanan","Berlawanan arah",IF(X13&lt;=Y13,"Tidak berbeda nyata","Berbeda nyata"))</f>
        <v>Berbeda nyata</v>
      </c>
      <c r="AB13" s="11"/>
      <c r="AC13" s="11"/>
      <c r="AF13" s="11"/>
      <c r="AG13" s="11"/>
      <c r="AH13" s="11"/>
      <c r="AK13" s="11"/>
      <c r="AL13" s="11"/>
      <c r="AM13" s="11"/>
      <c r="AP13" s="11"/>
      <c r="AQ13" s="11"/>
      <c r="AR13" s="11"/>
    </row>
    <row r="14" ht="22.5" customHeight="1">
      <c r="A14" s="39" t="s">
        <v>2</v>
      </c>
      <c r="B14" s="41">
        <f>AVERAGE(H2:H8)</f>
        <v>1898.571429</v>
      </c>
      <c r="C14" s="41">
        <f>AVERAGE(G2:G8)</f>
        <v>1630.124286</v>
      </c>
      <c r="D14" s="41">
        <f>_xlfn.STDEV.P(H2:H8)</f>
        <v>180.158547</v>
      </c>
      <c r="E14" s="41">
        <f>_xlfn.STDEV.P(G2:G8)</f>
        <v>97.71847857</v>
      </c>
      <c r="F14" s="41">
        <f>CORREL(H2:H8,G2:G8)</f>
        <v>-0.313362145</v>
      </c>
      <c r="G14" s="41">
        <f t="shared" si="10"/>
        <v>0.1413942814</v>
      </c>
      <c r="H14" s="41">
        <f t="shared" si="11"/>
        <v>0.4575973207</v>
      </c>
      <c r="I14" s="41">
        <f>_xlfn.STDEV.P(I2:I8)/(D14+E14)</f>
        <v>0.8287938896</v>
      </c>
      <c r="J14" s="41">
        <f t="shared" si="12"/>
        <v>72063.86851</v>
      </c>
      <c r="K14" s="41">
        <f t="shared" si="13"/>
        <v>6796.364876</v>
      </c>
      <c r="L14" s="41">
        <f t="shared" si="14"/>
        <v>46243.00597</v>
      </c>
      <c r="M14" s="41">
        <f t="shared" si="15"/>
        <v>0.576035192</v>
      </c>
      <c r="N14" s="41">
        <f t="shared" si="16"/>
        <v>0.05432605032</v>
      </c>
      <c r="O14" s="41">
        <f t="shared" si="17"/>
        <v>0.3696387576</v>
      </c>
      <c r="P14" s="41">
        <f>SUMPRODUCT(ABS(I2:I8/H2:H8))/COUNT(H2:H8)</f>
        <v>0.1329827712</v>
      </c>
      <c r="Q14" s="43" t="str">
        <f t="shared" si="18"/>
        <v>Tidak</v>
      </c>
      <c r="R14" s="43" t="str">
        <f t="shared" si="19"/>
        <v>Tidak</v>
      </c>
      <c r="S14" s="43" t="str">
        <f t="shared" si="20"/>
        <v>Kurang</v>
      </c>
      <c r="T14" s="45">
        <f>SLOPE(H2:H8,F2:F8)</f>
        <v>66.07142857</v>
      </c>
      <c r="U14" s="45">
        <f>SLOPE(G2:G8,F2:F8)</f>
        <v>-42.2175</v>
      </c>
      <c r="V14" s="45">
        <f>STEYX(H2:H8,F2:F8)^2/DEVSQ(F2:F8)</f>
        <v>749.7683673</v>
      </c>
      <c r="W14" s="45">
        <f>STEYX(G2:G8,F2:F8)^2/DEVSQ(F2:F8)</f>
        <v>120.9815914</v>
      </c>
      <c r="X14" s="45">
        <f t="shared" si="21"/>
        <v>3.669757151</v>
      </c>
      <c r="Y14" s="45">
        <f>_xlfn.T.INV.2T(0.05,2*COUNT(F2:F8)-4)</f>
        <v>2.228138852</v>
      </c>
      <c r="Z14" s="46" t="str">
        <f t="shared" si="22"/>
        <v>Berlawanan</v>
      </c>
      <c r="AA14" s="46" t="str">
        <f t="shared" si="23"/>
        <v>Berlawanan arah</v>
      </c>
      <c r="AB14" s="11"/>
      <c r="AC14" s="11"/>
      <c r="AF14" s="11"/>
      <c r="AG14" s="11"/>
      <c r="AH14" s="11"/>
      <c r="AK14" s="11"/>
      <c r="AL14" s="11"/>
      <c r="AM14" s="11"/>
      <c r="AP14" s="11"/>
      <c r="AQ14" s="11"/>
      <c r="AR14" s="11"/>
    </row>
    <row r="15" ht="22.5" customHeight="1">
      <c r="A15" s="39" t="s">
        <v>3</v>
      </c>
      <c r="B15" s="41">
        <f>AVERAGE(M2:M8)</f>
        <v>191.7142857</v>
      </c>
      <c r="C15" s="41">
        <f>AVERAGE(L2:L8)</f>
        <v>191.4364286</v>
      </c>
      <c r="D15" s="41">
        <f>_xlfn.STDEV.P(M2:M8)</f>
        <v>14.90651138</v>
      </c>
      <c r="E15" s="41">
        <f>_xlfn.STDEV.P(L2:L8)</f>
        <v>2.111085967</v>
      </c>
      <c r="F15" s="41">
        <f>CORREL(M2:M8,L2:L8)</f>
        <v>0.7309426087</v>
      </c>
      <c r="G15" s="41">
        <f t="shared" si="10"/>
        <v>0.001449329359</v>
      </c>
      <c r="H15" s="41">
        <f t="shared" si="11"/>
        <v>0.8583782676</v>
      </c>
      <c r="I15" s="41">
        <f>_xlfn.STDEV.P(N2:N8)/(D15+E15)</f>
        <v>0.7898214436</v>
      </c>
      <c r="J15" s="41">
        <f t="shared" si="12"/>
        <v>0.07720459184</v>
      </c>
      <c r="K15" s="41">
        <f t="shared" si="13"/>
        <v>163.7229116</v>
      </c>
      <c r="L15" s="41">
        <f t="shared" si="14"/>
        <v>16.93389481</v>
      </c>
      <c r="M15" s="41">
        <f t="shared" si="15"/>
        <v>0.0004271724586</v>
      </c>
      <c r="N15" s="41">
        <f t="shared" si="16"/>
        <v>0.9058777078</v>
      </c>
      <c r="O15" s="41">
        <f t="shared" si="17"/>
        <v>0.09369511978</v>
      </c>
      <c r="P15" s="41">
        <f>SUMPRODUCT(ABS(N2:N8/M2:M8))/COUNT(M2:M8)</f>
        <v>0.05697208685</v>
      </c>
      <c r="Q15" s="43" t="str">
        <f t="shared" si="18"/>
        <v>Lolos</v>
      </c>
      <c r="R15" s="43" t="str">
        <f t="shared" si="19"/>
        <v>Tidak</v>
      </c>
      <c r="S15" s="43" t="str">
        <f t="shared" si="20"/>
        <v>Kurang</v>
      </c>
      <c r="T15" s="45">
        <f>SLOPE(M2:M8,K2:K8)</f>
        <v>5.107142857</v>
      </c>
      <c r="U15" s="45">
        <f>SLOPE(L2:L8,K2:K8)</f>
        <v>1.030607143</v>
      </c>
      <c r="V15" s="45">
        <f>STEYX(M2:M8,K2:K8)^2/DEVSQ(K2:K8)</f>
        <v>5.893622449</v>
      </c>
      <c r="W15" s="45">
        <f>STEYX(L2:L8,K2:K8)^2/DEVSQ(K2:K8)</f>
        <v>0.01040398138</v>
      </c>
      <c r="X15" s="45">
        <f t="shared" si="21"/>
        <v>1.677710818</v>
      </c>
      <c r="Y15" s="45">
        <f>_xlfn.T.INV.2T(0.05,2*COUNT(K2:K8)-4)</f>
        <v>2.228138852</v>
      </c>
      <c r="Z15" s="46" t="str">
        <f t="shared" si="22"/>
        <v>Sama</v>
      </c>
      <c r="AA15" s="46" t="str">
        <f t="shared" si="23"/>
        <v>Tidak berbeda nyata</v>
      </c>
      <c r="AB15" s="11"/>
      <c r="AC15" s="11"/>
      <c r="AF15" s="11"/>
      <c r="AG15" s="11"/>
      <c r="AH15" s="11"/>
      <c r="AK15" s="11"/>
      <c r="AL15" s="11"/>
      <c r="AM15" s="11"/>
      <c r="AP15" s="11"/>
      <c r="AQ15" s="11"/>
      <c r="AR15" s="11"/>
    </row>
    <row r="16" ht="22.5" customHeight="1">
      <c r="A16" s="39" t="s">
        <v>4</v>
      </c>
      <c r="B16" s="41">
        <f>AVERAGE(R2:R8)</f>
        <v>347134.7143</v>
      </c>
      <c r="C16" s="41">
        <f>AVERAGE(Q2:Q8)</f>
        <v>306115.4286</v>
      </c>
      <c r="D16" s="41">
        <f>_xlfn.STDEV.P(R2:R8)</f>
        <v>27736.93889</v>
      </c>
      <c r="E16" s="41">
        <f>_xlfn.STDEV.P(Q2:Q8)</f>
        <v>18640.05395</v>
      </c>
      <c r="F16" s="41">
        <f>CORREL(R2:R8,Q2:Q8)</f>
        <v>-0.552919435</v>
      </c>
      <c r="G16" s="41">
        <f t="shared" si="10"/>
        <v>0.1181653232</v>
      </c>
      <c r="H16" s="41">
        <f t="shared" si="11"/>
        <v>0.3279700396</v>
      </c>
      <c r="I16" s="41">
        <f>_xlfn.STDEV.P(S2:S8)/(D16+E16)</f>
        <v>0.8860363772</v>
      </c>
      <c r="J16" s="41">
        <f t="shared" si="12"/>
        <v>1682581801</v>
      </c>
      <c r="K16" s="41">
        <f t="shared" si="13"/>
        <v>82753315.71</v>
      </c>
      <c r="L16" s="41">
        <f t="shared" si="14"/>
        <v>1605774716</v>
      </c>
      <c r="M16" s="41">
        <f t="shared" si="15"/>
        <v>0.4991180602</v>
      </c>
      <c r="N16" s="41">
        <f t="shared" si="16"/>
        <v>0.02454779578</v>
      </c>
      <c r="O16" s="41">
        <f t="shared" si="17"/>
        <v>0.476334144</v>
      </c>
      <c r="P16" s="41">
        <f>SUMPRODUCT(ABS(S2:S8/R2:R8))/COUNT(R2:R8)</f>
        <v>0.1239130182</v>
      </c>
      <c r="Q16" s="43" t="str">
        <f t="shared" si="18"/>
        <v>Tidak</v>
      </c>
      <c r="R16" s="43" t="str">
        <f t="shared" si="19"/>
        <v>Tidak</v>
      </c>
      <c r="S16" s="43" t="str">
        <f t="shared" si="20"/>
        <v>Kurang</v>
      </c>
      <c r="T16" s="45">
        <f>SLOPE(R2:R8,P2:P8)</f>
        <v>7622.392857</v>
      </c>
      <c r="U16" s="45">
        <f>SLOPE(Q2:Q8,P2:P8)</f>
        <v>-9316.785714</v>
      </c>
      <c r="V16" s="45">
        <f>STEYX(R2:R8,P2:P8)^2/DEVSQ(P2:P8)</f>
        <v>26846714.38</v>
      </c>
      <c r="W16" s="45">
        <f>STEYX(Q2:Q8,P2:P8)^2/DEVSQ(P2:P8)</f>
        <v>12081.34592</v>
      </c>
      <c r="X16" s="45">
        <f t="shared" si="21"/>
        <v>3.268504432</v>
      </c>
      <c r="Y16" s="45">
        <f>_xlfn.T.INV.2T(0.05,2*COUNT(P2:P8)-4)</f>
        <v>2.228138852</v>
      </c>
      <c r="Z16" s="46" t="str">
        <f t="shared" si="22"/>
        <v>Berlawanan</v>
      </c>
      <c r="AA16" s="46" t="str">
        <f t="shared" si="23"/>
        <v>Berlawanan arah</v>
      </c>
      <c r="AB16" s="11"/>
      <c r="AC16" s="11"/>
      <c r="AF16" s="11"/>
      <c r="AG16" s="11"/>
      <c r="AH16" s="11"/>
      <c r="AK16" s="11"/>
      <c r="AL16" s="11"/>
      <c r="AM16" s="11"/>
      <c r="AP16" s="11"/>
      <c r="AQ16" s="11"/>
      <c r="AR16" s="11"/>
    </row>
    <row r="17" ht="22.5" customHeight="1">
      <c r="A17" s="39" t="s">
        <v>5</v>
      </c>
      <c r="B17" s="41">
        <f>AVERAGE(W2:W8)</f>
        <v>63457.74295</v>
      </c>
      <c r="C17" s="41">
        <f>AVERAGE(V2:V8)</f>
        <v>70429.14286</v>
      </c>
      <c r="D17" s="41">
        <f>_xlfn.STDEV.P(W2:W8)</f>
        <v>7427.240411</v>
      </c>
      <c r="E17" s="41">
        <f>_xlfn.STDEV.P(V2:V8)</f>
        <v>4732.846599</v>
      </c>
      <c r="F17" s="41">
        <f>CORREL(W2:W8,V2:V8)</f>
        <v>0.1818019533</v>
      </c>
      <c r="G17" s="41">
        <f t="shared" si="10"/>
        <v>0.1098589326</v>
      </c>
      <c r="H17" s="41">
        <f t="shared" si="11"/>
        <v>0.3627718592</v>
      </c>
      <c r="I17" s="41">
        <f>_xlfn.STDEV.P(X2:X8)/(D17+E17)</f>
        <v>0.6618988412</v>
      </c>
      <c r="J17" s="41">
        <f t="shared" si="12"/>
        <v>48600416.66</v>
      </c>
      <c r="K17" s="41">
        <f t="shared" si="13"/>
        <v>7259758.019</v>
      </c>
      <c r="L17" s="41">
        <f t="shared" si="14"/>
        <v>57522578.32</v>
      </c>
      <c r="M17" s="41">
        <f t="shared" si="15"/>
        <v>0.4286402947</v>
      </c>
      <c r="N17" s="41">
        <f t="shared" si="16"/>
        <v>0.06402876828</v>
      </c>
      <c r="O17" s="41">
        <f t="shared" si="17"/>
        <v>0.507330937</v>
      </c>
      <c r="P17" s="41">
        <f>SUMPRODUCT(ABS(X2:X8/W2:W8))/COUNT(W2:W8)</f>
        <v>0.1343163589</v>
      </c>
      <c r="Q17" s="43" t="str">
        <f t="shared" si="18"/>
        <v>Tidak</v>
      </c>
      <c r="R17" s="43" t="str">
        <f t="shared" si="19"/>
        <v>Tidak</v>
      </c>
      <c r="S17" s="43" t="str">
        <f t="shared" si="20"/>
        <v>Cukup</v>
      </c>
      <c r="T17" s="45">
        <f>SLOPE(W2:W8,U2:U8)</f>
        <v>695.8720642</v>
      </c>
      <c r="U17" s="45">
        <f>SLOPE(V2:V8,U2:U8)</f>
        <v>2365.857143</v>
      </c>
      <c r="V17" s="45">
        <f>STEYX(W2:W8,U2:U8)^2/DEVSQ(U2:U8)</f>
        <v>2661347.421</v>
      </c>
      <c r="W17" s="45">
        <f>STEYX(V2:V8,U2:U8)^2/DEVSQ(U2:U8)</f>
        <v>535.8421837</v>
      </c>
      <c r="X17" s="45">
        <f t="shared" si="21"/>
        <v>1.023571271</v>
      </c>
      <c r="Y17" s="45">
        <f>_xlfn.T.INV.2T(0.05,2*COUNT(U2:U8)-4)</f>
        <v>2.228138852</v>
      </c>
      <c r="Z17" s="46" t="str">
        <f t="shared" si="22"/>
        <v>Sama</v>
      </c>
      <c r="AA17" s="46" t="str">
        <f t="shared" si="23"/>
        <v>Tidak berbeda nyata</v>
      </c>
      <c r="AB17" s="11"/>
      <c r="AC17" s="11"/>
      <c r="AF17" s="11"/>
      <c r="AG17" s="11"/>
      <c r="AH17" s="11"/>
      <c r="AK17" s="11"/>
      <c r="AL17" s="11"/>
      <c r="AM17" s="11"/>
      <c r="AP17" s="11"/>
      <c r="AQ17" s="11"/>
      <c r="AR17" s="11"/>
    </row>
    <row r="18" ht="22.5" customHeight="1">
      <c r="A18" s="39" t="s">
        <v>6</v>
      </c>
      <c r="B18" s="41">
        <f>AVERAGE(AB2:AB8)</f>
        <v>0.3881714286</v>
      </c>
      <c r="C18" s="41">
        <f>AVERAGE(AA2:AA8)</f>
        <v>0.3087705714</v>
      </c>
      <c r="D18" s="41">
        <f>_xlfn.STDEV.P(AB2:AB8)</f>
        <v>0.07119076413</v>
      </c>
      <c r="E18" s="41">
        <f>_xlfn.STDEV.P(AA2:AA8)</f>
        <v>0.05146225259</v>
      </c>
      <c r="F18" s="41">
        <f>CORREL(AB2:AB8,AA2:AA8)</f>
        <v>0.2552479666</v>
      </c>
      <c r="G18" s="41">
        <f t="shared" si="10"/>
        <v>0.2045510084</v>
      </c>
      <c r="H18" s="41">
        <f t="shared" si="11"/>
        <v>0.2771217838</v>
      </c>
      <c r="I18" s="41">
        <f>_xlfn.STDEV.P(AC2:AC8)/(D18+E18)</f>
        <v>0.6233891125</v>
      </c>
      <c r="J18" s="41">
        <f t="shared" si="12"/>
        <v>0.006304496115</v>
      </c>
      <c r="K18" s="41">
        <f t="shared" si="13"/>
        <v>0.0003892141678</v>
      </c>
      <c r="L18" s="41">
        <f t="shared" si="14"/>
        <v>0.005457002339</v>
      </c>
      <c r="M18" s="41">
        <f t="shared" si="15"/>
        <v>0.5188581371</v>
      </c>
      <c r="N18" s="41">
        <f t="shared" si="16"/>
        <v>0.03203220913</v>
      </c>
      <c r="O18" s="41">
        <f t="shared" si="17"/>
        <v>0.4491096538</v>
      </c>
      <c r="P18" s="41">
        <f>SUMPRODUCT(ABS(AC2:AC8/AB2:AB8))/COUNT(AB2:AB8)</f>
        <v>0.1919790035</v>
      </c>
      <c r="Q18" s="43" t="str">
        <f t="shared" si="18"/>
        <v>Tidak</v>
      </c>
      <c r="R18" s="43" t="str">
        <f t="shared" si="19"/>
        <v>Lolos</v>
      </c>
      <c r="S18" s="43" t="str">
        <f t="shared" si="20"/>
        <v>Cukup</v>
      </c>
      <c r="T18" s="45">
        <f>SLOPE(AB2:AB8,Z2:Z8)</f>
        <v>0.007864285714</v>
      </c>
      <c r="U18" s="45">
        <f>SLOPE(AA2:AA8,Z2:Z8)</f>
        <v>0.02554903571</v>
      </c>
      <c r="V18" s="45">
        <f>STEYX(AB2:AB8,Z2:Z8)^2/DEVSQ(Z2:Z8)</f>
        <v>0.0002410368469</v>
      </c>
      <c r="W18" s="45">
        <f>STEYX(AA2:AA8,Z2:Z8)^2/DEVSQ(Z2:Z8)</f>
        <v>0.000001867526883</v>
      </c>
      <c r="X18" s="45">
        <f t="shared" si="21"/>
        <v>1.134700529</v>
      </c>
      <c r="Y18" s="45">
        <f>_xlfn.T.INV.2T(0.05,2*COUNT(Z2:Z8)-4)</f>
        <v>2.228138852</v>
      </c>
      <c r="Z18" s="46" t="str">
        <f t="shared" si="22"/>
        <v>Sama</v>
      </c>
      <c r="AA18" s="46" t="str">
        <f t="shared" si="23"/>
        <v>Tidak berbeda nyata</v>
      </c>
      <c r="AB18" s="11"/>
      <c r="AC18" s="11"/>
      <c r="AF18" s="11"/>
      <c r="AG18" s="11"/>
      <c r="AH18" s="11"/>
      <c r="AK18" s="11"/>
      <c r="AL18" s="11"/>
      <c r="AM18" s="11"/>
      <c r="AP18" s="11"/>
      <c r="AQ18" s="11"/>
      <c r="AR18" s="11"/>
    </row>
    <row r="19" ht="22.5" customHeight="1">
      <c r="A19" s="39" t="s">
        <v>7</v>
      </c>
      <c r="B19" s="41">
        <f>AVERAGE(AG2:AG8)</f>
        <v>13918.80143</v>
      </c>
      <c r="C19" s="41">
        <f>AVERAGE(AF2:AF8)</f>
        <v>10316.19</v>
      </c>
      <c r="D19" s="41">
        <f>_xlfn.STDEV.P(AG2:AG8)</f>
        <v>1956.041139</v>
      </c>
      <c r="E19" s="41">
        <f>_xlfn.STDEV.P(AF2:AF8)</f>
        <v>1234.97367</v>
      </c>
      <c r="F19" s="41">
        <f>CORREL(AG2:AG8,AF2:AF8)</f>
        <v>0.8943835272</v>
      </c>
      <c r="G19" s="41">
        <f t="shared" si="10"/>
        <v>0.2588305787</v>
      </c>
      <c r="H19" s="41">
        <f t="shared" si="11"/>
        <v>0.3686361469</v>
      </c>
      <c r="I19" s="41">
        <f>_xlfn.STDEV.P(AH2:AH8)/(D19+E19)</f>
        <v>0.3180775615</v>
      </c>
      <c r="J19" s="41">
        <f t="shared" si="12"/>
        <v>12978809.11</v>
      </c>
      <c r="K19" s="41">
        <f t="shared" si="13"/>
        <v>519938.2942</v>
      </c>
      <c r="L19" s="41">
        <f t="shared" si="14"/>
        <v>510266.8302</v>
      </c>
      <c r="M19" s="41">
        <f t="shared" si="15"/>
        <v>0.9264612693</v>
      </c>
      <c r="N19" s="41">
        <f t="shared" si="16"/>
        <v>0.0371145525</v>
      </c>
      <c r="O19" s="41">
        <f t="shared" si="17"/>
        <v>0.03642417816</v>
      </c>
      <c r="P19" s="41">
        <f>SUMPRODUCT(ABS(AH2:AH8/AG2:AG8))/COUNT(AG2:AG8)</f>
        <v>0.2548204971</v>
      </c>
      <c r="Q19" s="43" t="str">
        <f t="shared" si="18"/>
        <v>Tidak</v>
      </c>
      <c r="R19" s="43" t="str">
        <f t="shared" si="19"/>
        <v>Tidak</v>
      </c>
      <c r="S19" s="43" t="str">
        <f t="shared" si="20"/>
        <v>Baik</v>
      </c>
      <c r="T19" s="45">
        <f>SLOPE(AG2:AG8,AE2:AE8)</f>
        <v>861.9889286</v>
      </c>
      <c r="U19" s="45">
        <f>SLOPE(AF2:AF8,AE2:AE8)</f>
        <v>616.8396429</v>
      </c>
      <c r="V19" s="45">
        <f>STEYX(AG2:AG8,AE2:AE8)^2/DEVSQ(AE2:AE8)</f>
        <v>42699.86419</v>
      </c>
      <c r="W19" s="45">
        <f>STEYX(AF2:AF8,AE2:AE8)^2/DEVSQ(AE2:AE8)</f>
        <v>159.7692843</v>
      </c>
      <c r="X19" s="45">
        <f t="shared" si="21"/>
        <v>1.184149145</v>
      </c>
      <c r="Y19" s="45">
        <f>_xlfn.T.INV.2T(0.05,2*COUNT(AE2:AE8)-4)</f>
        <v>2.228138852</v>
      </c>
      <c r="Z19" s="46" t="str">
        <f t="shared" si="22"/>
        <v>Sama</v>
      </c>
      <c r="AA19" s="46" t="str">
        <f t="shared" si="23"/>
        <v>Tidak berbeda nyata</v>
      </c>
      <c r="AB19" s="11"/>
      <c r="AC19" s="11"/>
      <c r="AF19" s="11"/>
      <c r="AG19" s="11"/>
      <c r="AH19" s="11"/>
      <c r="AK19" s="11"/>
      <c r="AL19" s="11"/>
      <c r="AM19" s="11"/>
      <c r="AP19" s="11"/>
      <c r="AQ19" s="11"/>
      <c r="AR19" s="11"/>
    </row>
    <row r="20" ht="22.5" customHeight="1">
      <c r="A20" s="39" t="s">
        <v>8</v>
      </c>
      <c r="B20" s="41">
        <f>AVERAGE(AL2:AL8)</f>
        <v>822.4319141</v>
      </c>
      <c r="C20" s="41">
        <f>AVERAGE(AK2:AK8)</f>
        <v>503.61</v>
      </c>
      <c r="D20" s="41">
        <f>_xlfn.STDEV.P(AL2:AL8)</f>
        <v>301.6348852</v>
      </c>
      <c r="E20" s="41">
        <f>_xlfn.STDEV.P(AK2:AK8)</f>
        <v>60.28862913</v>
      </c>
      <c r="F20" s="41">
        <f>CORREL(AL2:AL8,AK2:AK8)</f>
        <v>0.612446911</v>
      </c>
      <c r="G20" s="41">
        <f t="shared" si="10"/>
        <v>0.3876575175</v>
      </c>
      <c r="H20" s="41">
        <f t="shared" si="11"/>
        <v>0.8001271336</v>
      </c>
      <c r="I20" s="41">
        <f>_xlfn.STDEV.P(AM2:AM8)/(D20+E20)</f>
        <v>0.7431607745</v>
      </c>
      <c r="J20" s="41">
        <f t="shared" si="12"/>
        <v>101647.4129</v>
      </c>
      <c r="K20" s="41">
        <f t="shared" si="13"/>
        <v>58248.01534</v>
      </c>
      <c r="L20" s="41">
        <f t="shared" si="14"/>
        <v>14095.425</v>
      </c>
      <c r="M20" s="41">
        <f t="shared" si="15"/>
        <v>0.5842112446</v>
      </c>
      <c r="N20" s="41">
        <f t="shared" si="16"/>
        <v>0.3347763072</v>
      </c>
      <c r="O20" s="41">
        <f t="shared" si="17"/>
        <v>0.08101244828</v>
      </c>
      <c r="P20" s="41">
        <f>SUMPRODUCT(ABS(AM2:AM8/AL2:AL8))/COUNT(AL2:AL8)</f>
        <v>0.3373701628</v>
      </c>
      <c r="Q20" s="43" t="str">
        <f t="shared" si="18"/>
        <v>Tidak</v>
      </c>
      <c r="R20" s="43" t="str">
        <f t="shared" si="19"/>
        <v>Tidak</v>
      </c>
      <c r="S20" s="43" t="str">
        <f t="shared" si="20"/>
        <v>Kurang</v>
      </c>
      <c r="T20" s="45">
        <f>SLOPE(AL2:AL8,AJ2:AJ8)</f>
        <v>90.18349632</v>
      </c>
      <c r="U20" s="45">
        <f>SLOPE(AK2:AK8,AJ2:AJ8)</f>
        <v>30.11271429</v>
      </c>
      <c r="V20" s="45">
        <f>STEYX(AL2:AL8,AJ2:AJ8)^2/DEVSQ(AJ2:AJ8)</f>
        <v>2922.567598</v>
      </c>
      <c r="W20" s="45">
        <f>STEYX(AK2:AK8,AJ2:AJ8)^2/DEVSQ(AJ2:AJ8)</f>
        <v>0.3808277837</v>
      </c>
      <c r="X20" s="45">
        <f t="shared" si="21"/>
        <v>1.11109888</v>
      </c>
      <c r="Y20" s="45">
        <f>_xlfn.T.INV.2T(0.05,2*COUNT(AJ2:AJ8)-4)</f>
        <v>2.228138852</v>
      </c>
      <c r="Z20" s="46" t="str">
        <f t="shared" si="22"/>
        <v>Sama</v>
      </c>
      <c r="AA20" s="46" t="str">
        <f t="shared" si="23"/>
        <v>Tidak berbeda nyata</v>
      </c>
      <c r="AB20" s="11"/>
      <c r="AC20" s="11"/>
      <c r="AF20" s="11"/>
      <c r="AG20" s="11"/>
      <c r="AH20" s="11"/>
      <c r="AK20" s="11"/>
      <c r="AL20" s="11"/>
      <c r="AM20" s="11"/>
      <c r="AP20" s="11"/>
      <c r="AQ20" s="11"/>
      <c r="AR20" s="11"/>
    </row>
    <row r="21" ht="22.5" customHeight="1">
      <c r="A21" s="39" t="s">
        <v>9</v>
      </c>
      <c r="B21" s="41">
        <f>AVERAGE(AQ2:AQ8)</f>
        <v>9948453</v>
      </c>
      <c r="C21" s="41">
        <f>AVERAGE(AP2:AP8)</f>
        <v>7274924.286</v>
      </c>
      <c r="D21" s="41">
        <f>_xlfn.STDEV.P(AQ2:AQ8)</f>
        <v>2785678.156</v>
      </c>
      <c r="E21" s="41">
        <f>_xlfn.STDEV.P(AP2:AP8)</f>
        <v>870905.1137</v>
      </c>
      <c r="F21" s="41">
        <f>CORREL(AQ2:AQ8,AP2:AP8)</f>
        <v>0.3625078192</v>
      </c>
      <c r="G21" s="41">
        <f t="shared" si="10"/>
        <v>0.2687381359</v>
      </c>
      <c r="H21" s="41">
        <f t="shared" si="11"/>
        <v>0.6873633403</v>
      </c>
      <c r="I21" s="41">
        <f>_xlfn.STDEV.P(AR2:AR8)/(D21+E21)</f>
        <v>0.7110224261</v>
      </c>
      <c r="J21" s="41">
        <f t="shared" si="12"/>
        <v>7147755786110</v>
      </c>
      <c r="K21" s="41">
        <f t="shared" si="13"/>
        <v>3666355804879</v>
      </c>
      <c r="L21" s="41">
        <f t="shared" si="14"/>
        <v>3093190283575</v>
      </c>
      <c r="M21" s="41">
        <f t="shared" si="15"/>
        <v>0.5139570458</v>
      </c>
      <c r="N21" s="41">
        <f t="shared" si="16"/>
        <v>0.2636281169</v>
      </c>
      <c r="O21" s="41">
        <f t="shared" si="17"/>
        <v>0.2224148373</v>
      </c>
      <c r="P21" s="41">
        <f>SUMPRODUCT(ABS(AR2:AR8/AQ2:AQ8))/COUNT(AQ2:AQ8)</f>
        <v>0.2988160138</v>
      </c>
      <c r="Q21" s="43" t="str">
        <f t="shared" si="18"/>
        <v>Tidak</v>
      </c>
      <c r="R21" s="43" t="str">
        <f t="shared" si="19"/>
        <v>Tidak</v>
      </c>
      <c r="S21" s="43" t="str">
        <f t="shared" si="20"/>
        <v>Kurang</v>
      </c>
      <c r="T21" s="45">
        <f>SLOPE(AQ2:AQ8,AO2:AO8)</f>
        <v>475342.2143</v>
      </c>
      <c r="U21" s="45">
        <f>SLOPE(AP2:AP8,AO2:AO8)</f>
        <v>434996.0714</v>
      </c>
      <c r="V21" s="45">
        <f>STEYX(AQ2:AQ8,AO2:AO8)^2/DEVSQ(AO2:AO8)</f>
        <v>342810095410</v>
      </c>
      <c r="W21" s="45">
        <f>STEYX(AP2:AP8,AO2:AO8)^2/DEVSQ(AO2:AO8)</f>
        <v>79469423.85</v>
      </c>
      <c r="X21" s="45">
        <f t="shared" si="21"/>
        <v>0.06890089888</v>
      </c>
      <c r="Y21" s="45">
        <f>_xlfn.T.INV.2T(0.05,2*COUNT(AO2:AO8)-4)</f>
        <v>2.228138852</v>
      </c>
      <c r="Z21" s="46" t="str">
        <f t="shared" si="22"/>
        <v>Sama</v>
      </c>
      <c r="AA21" s="46" t="str">
        <f t="shared" si="23"/>
        <v>Tidak berbeda nyata</v>
      </c>
      <c r="AB21" s="11"/>
      <c r="AC21" s="11"/>
      <c r="AF21" s="11"/>
      <c r="AG21" s="11"/>
      <c r="AH21" s="11"/>
      <c r="AK21" s="11"/>
      <c r="AL21" s="11"/>
      <c r="AM21" s="11"/>
      <c r="AP21" s="11"/>
      <c r="AQ21" s="11"/>
      <c r="AR21" s="11"/>
    </row>
    <row r="22" ht="15.75" customHeight="1">
      <c r="A22" s="11"/>
      <c r="B22" s="11"/>
      <c r="C22" s="11"/>
      <c r="D22" s="11"/>
      <c r="E22" s="11"/>
      <c r="F22" s="29"/>
      <c r="G22" s="29"/>
      <c r="H22" s="29"/>
      <c r="I22" s="29"/>
      <c r="J22" s="29"/>
      <c r="K22" s="29"/>
      <c r="L22" s="11"/>
      <c r="M22" s="11"/>
      <c r="N22" s="11"/>
      <c r="O22" s="11"/>
      <c r="P22" s="11"/>
      <c r="Q22" s="11"/>
      <c r="R22" s="11"/>
      <c r="S22" s="30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F22" s="11"/>
      <c r="AG22" s="11"/>
      <c r="AH22" s="11"/>
      <c r="AK22" s="11"/>
      <c r="AL22" s="11"/>
      <c r="AM22" s="11"/>
      <c r="AP22" s="11"/>
      <c r="AQ22" s="11"/>
      <c r="AR22" s="11"/>
    </row>
    <row r="23" ht="15.75" customHeight="1">
      <c r="A23" s="9"/>
      <c r="B23" s="9"/>
      <c r="C23" s="29"/>
      <c r="D23" s="29"/>
      <c r="E23" s="29"/>
      <c r="F23" s="29"/>
      <c r="G23" s="29"/>
      <c r="H23" s="29"/>
      <c r="I23" s="29"/>
      <c r="J23" s="29"/>
      <c r="K23" s="29"/>
      <c r="L23" s="11"/>
      <c r="M23" s="11"/>
      <c r="N23" s="11"/>
      <c r="O23" s="11"/>
      <c r="P23" s="11"/>
      <c r="Q23" s="11"/>
      <c r="R23" s="11"/>
      <c r="S23" s="30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F23" s="11"/>
      <c r="AG23" s="11"/>
      <c r="AH23" s="11"/>
      <c r="AK23" s="11"/>
      <c r="AL23" s="11"/>
      <c r="AM23" s="11"/>
      <c r="AP23" s="11"/>
      <c r="AQ23" s="11"/>
      <c r="AR23" s="11"/>
    </row>
    <row r="24" ht="15.75" customHeight="1">
      <c r="A24" s="9"/>
      <c r="B24" s="9"/>
      <c r="C24" s="29"/>
      <c r="D24" s="29"/>
      <c r="E24" s="29"/>
      <c r="F24" s="29"/>
      <c r="G24" s="29"/>
      <c r="H24" s="29"/>
      <c r="I24" s="29"/>
      <c r="J24" s="29"/>
      <c r="K24" s="29"/>
      <c r="L24" s="11"/>
      <c r="M24" s="11"/>
      <c r="N24" s="11"/>
      <c r="O24" s="11"/>
      <c r="P24" s="11"/>
      <c r="Q24" s="11"/>
      <c r="R24" s="11"/>
      <c r="S24" s="30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F24" s="11"/>
      <c r="AG24" s="11"/>
      <c r="AH24" s="11"/>
      <c r="AK24" s="11"/>
      <c r="AL24" s="11"/>
      <c r="AM24" s="11"/>
      <c r="AP24" s="11"/>
      <c r="AQ24" s="11"/>
      <c r="AR24" s="11"/>
    </row>
    <row r="25" ht="15.75" customHeight="1">
      <c r="A25" s="4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F25" s="11"/>
      <c r="AG25" s="11"/>
      <c r="AH25" s="11"/>
      <c r="AK25" s="11"/>
      <c r="AL25" s="11"/>
      <c r="AM25" s="11"/>
      <c r="AP25" s="11"/>
      <c r="AQ25" s="11"/>
      <c r="AR25" s="11"/>
    </row>
    <row r="26" ht="15.75" customHeight="1">
      <c r="A26" s="47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F26" s="11"/>
      <c r="AG26" s="11"/>
      <c r="AH26" s="11"/>
      <c r="AK26" s="11"/>
      <c r="AL26" s="11"/>
      <c r="AM26" s="11"/>
      <c r="AP26" s="11"/>
      <c r="AQ26" s="11"/>
      <c r="AR26" s="11"/>
    </row>
    <row r="27" ht="15.75" customHeight="1">
      <c r="A27" s="47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F27" s="11"/>
      <c r="AG27" s="11"/>
      <c r="AH27" s="11"/>
      <c r="AK27" s="11"/>
      <c r="AL27" s="11"/>
      <c r="AM27" s="11"/>
      <c r="AP27" s="11"/>
      <c r="AQ27" s="11"/>
      <c r="AR27" s="11"/>
    </row>
    <row r="28" ht="15.75" customHeight="1">
      <c r="A28" s="47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F28" s="11"/>
      <c r="AG28" s="11"/>
      <c r="AH28" s="11"/>
      <c r="AK28" s="11"/>
      <c r="AL28" s="11"/>
      <c r="AM28" s="11"/>
      <c r="AP28" s="11"/>
      <c r="AQ28" s="11"/>
      <c r="AR28" s="11"/>
    </row>
    <row r="29" ht="15.75" customHeight="1">
      <c r="A29" s="47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F29" s="11"/>
      <c r="AG29" s="11"/>
      <c r="AH29" s="11"/>
      <c r="AK29" s="11"/>
      <c r="AL29" s="11"/>
      <c r="AM29" s="11"/>
      <c r="AP29" s="11"/>
      <c r="AQ29" s="11"/>
      <c r="AR29" s="11"/>
    </row>
    <row r="30" ht="15.75" customHeight="1">
      <c r="A30" s="47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F30" s="11"/>
      <c r="AG30" s="11"/>
      <c r="AH30" s="11"/>
      <c r="AK30" s="11"/>
      <c r="AL30" s="11"/>
      <c r="AM30" s="11"/>
      <c r="AP30" s="11"/>
      <c r="AQ30" s="11"/>
      <c r="AR30" s="11"/>
    </row>
    <row r="31" ht="15.75" customHeight="1">
      <c r="A31" s="47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F31" s="11"/>
      <c r="AG31" s="11"/>
      <c r="AH31" s="11"/>
      <c r="AK31" s="11"/>
      <c r="AL31" s="11"/>
      <c r="AM31" s="11"/>
      <c r="AP31" s="11"/>
      <c r="AQ31" s="11"/>
      <c r="AR31" s="11"/>
    </row>
    <row r="32" ht="15.75" customHeight="1">
      <c r="A32" s="47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F32" s="11"/>
      <c r="AG32" s="11"/>
      <c r="AH32" s="11"/>
      <c r="AK32" s="11"/>
      <c r="AL32" s="11"/>
      <c r="AM32" s="11"/>
      <c r="AP32" s="11"/>
      <c r="AQ32" s="11"/>
      <c r="AR32" s="11"/>
    </row>
    <row r="33" ht="15.75" customHeight="1">
      <c r="A33" s="9"/>
      <c r="B33" s="9"/>
      <c r="C33" s="29"/>
      <c r="D33" s="29"/>
      <c r="E33" s="29"/>
      <c r="F33" s="29"/>
      <c r="G33" s="29"/>
      <c r="H33" s="29"/>
      <c r="I33" s="29"/>
      <c r="J33" s="29"/>
      <c r="K33" s="29"/>
      <c r="L33" s="11"/>
      <c r="M33" s="11"/>
      <c r="N33" s="11"/>
      <c r="O33" s="11"/>
      <c r="P33" s="11"/>
      <c r="Q33" s="11"/>
      <c r="R33" s="11"/>
      <c r="S33" s="30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F33" s="11"/>
      <c r="AG33" s="11"/>
      <c r="AH33" s="11"/>
      <c r="AK33" s="11"/>
      <c r="AL33" s="11"/>
      <c r="AM33" s="11"/>
      <c r="AP33" s="11"/>
      <c r="AQ33" s="11"/>
      <c r="AR33" s="11"/>
    </row>
    <row r="34" ht="15.75" customHeight="1">
      <c r="A34" s="9"/>
      <c r="B34" s="9"/>
      <c r="C34" s="29"/>
      <c r="D34" s="29"/>
      <c r="E34" s="29"/>
      <c r="F34" s="29"/>
      <c r="G34" s="29"/>
      <c r="H34" s="29"/>
      <c r="I34" s="29"/>
      <c r="J34" s="29"/>
      <c r="K34" s="29"/>
      <c r="L34" s="11"/>
      <c r="M34" s="11"/>
      <c r="N34" s="11"/>
      <c r="O34" s="11"/>
      <c r="P34" s="11"/>
      <c r="Q34" s="11"/>
      <c r="R34" s="11"/>
      <c r="S34" s="30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F34" s="11"/>
      <c r="AG34" s="11"/>
      <c r="AH34" s="11"/>
      <c r="AK34" s="11"/>
      <c r="AL34" s="11"/>
      <c r="AM34" s="11"/>
      <c r="AP34" s="11"/>
      <c r="AQ34" s="11"/>
      <c r="AR34" s="11"/>
    </row>
    <row r="35" ht="15.75" customHeight="1">
      <c r="A35" s="48" t="s">
        <v>68</v>
      </c>
      <c r="B35" s="49" t="s">
        <v>69</v>
      </c>
      <c r="C35" s="50"/>
      <c r="D35" s="50"/>
      <c r="E35" s="51"/>
      <c r="F35" s="9"/>
      <c r="G35" s="9"/>
      <c r="H35" s="9"/>
      <c r="I35" s="29"/>
      <c r="J35" s="29"/>
      <c r="K35" s="29"/>
      <c r="L35" s="11"/>
      <c r="M35" s="11"/>
      <c r="N35" s="11"/>
      <c r="O35" s="11"/>
      <c r="P35" s="11"/>
      <c r="Q35" s="11"/>
      <c r="R35" s="11"/>
      <c r="S35" s="30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F35" s="11"/>
      <c r="AG35" s="11"/>
      <c r="AH35" s="11"/>
      <c r="AK35" s="11"/>
      <c r="AL35" s="11"/>
      <c r="AM35" s="11"/>
      <c r="AP35" s="11"/>
      <c r="AQ35" s="11"/>
      <c r="AR35" s="11"/>
    </row>
    <row r="36" ht="15.75" customHeight="1">
      <c r="A36" s="52"/>
      <c r="E36" s="53"/>
      <c r="F36" s="29"/>
      <c r="G36" s="29"/>
      <c r="H36" s="29"/>
      <c r="I36" s="29"/>
      <c r="J36" s="29"/>
      <c r="K36" s="29"/>
      <c r="L36" s="11"/>
      <c r="M36" s="11"/>
      <c r="N36" s="11"/>
      <c r="O36" s="11"/>
      <c r="P36" s="11"/>
      <c r="Q36" s="11"/>
      <c r="R36" s="11"/>
      <c r="S36" s="30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F36" s="11"/>
      <c r="AG36" s="11"/>
      <c r="AH36" s="11"/>
      <c r="AK36" s="11"/>
      <c r="AL36" s="11"/>
      <c r="AM36" s="11"/>
      <c r="AP36" s="11"/>
      <c r="AQ36" s="11"/>
      <c r="AR36" s="11"/>
    </row>
    <row r="37" ht="15.75" customHeight="1">
      <c r="A37" s="52"/>
      <c r="E37" s="53"/>
      <c r="F37" s="29"/>
      <c r="G37" s="29"/>
      <c r="H37" s="29"/>
      <c r="I37" s="29"/>
      <c r="J37" s="29"/>
      <c r="K37" s="29"/>
      <c r="L37" s="11"/>
      <c r="M37" s="11"/>
      <c r="N37" s="11"/>
      <c r="O37" s="11"/>
      <c r="P37" s="11"/>
      <c r="Q37" s="11"/>
      <c r="R37" s="11"/>
      <c r="S37" s="30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F37" s="11"/>
      <c r="AG37" s="11"/>
      <c r="AH37" s="11"/>
      <c r="AK37" s="11"/>
      <c r="AL37" s="11"/>
      <c r="AM37" s="11"/>
      <c r="AP37" s="11"/>
      <c r="AQ37" s="11"/>
      <c r="AR37" s="11"/>
    </row>
    <row r="38" ht="15.75" customHeight="1">
      <c r="A38" s="52"/>
      <c r="E38" s="53"/>
      <c r="F38" s="29"/>
      <c r="G38" s="29"/>
      <c r="H38" s="29"/>
      <c r="I38" s="29"/>
      <c r="J38" s="29"/>
      <c r="K38" s="29"/>
      <c r="L38" s="11"/>
      <c r="M38" s="11"/>
      <c r="N38" s="11"/>
      <c r="O38" s="11"/>
      <c r="P38" s="11"/>
      <c r="Q38" s="11"/>
      <c r="R38" s="11"/>
      <c r="S38" s="30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F38" s="11"/>
      <c r="AG38" s="11"/>
      <c r="AH38" s="11"/>
      <c r="AK38" s="11"/>
      <c r="AL38" s="11"/>
      <c r="AM38" s="11"/>
      <c r="AP38" s="11"/>
      <c r="AQ38" s="11"/>
      <c r="AR38" s="11"/>
    </row>
    <row r="39" ht="15.75" customHeight="1">
      <c r="A39" s="52"/>
      <c r="E39" s="53"/>
      <c r="F39" s="29"/>
      <c r="G39" s="29"/>
      <c r="H39" s="29"/>
      <c r="I39" s="29"/>
      <c r="J39" s="29"/>
      <c r="K39" s="29"/>
      <c r="L39" s="11"/>
      <c r="M39" s="11"/>
      <c r="N39" s="11"/>
      <c r="O39" s="11"/>
      <c r="P39" s="11"/>
      <c r="Q39" s="11"/>
      <c r="R39" s="11"/>
      <c r="S39" s="30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F39" s="11"/>
      <c r="AG39" s="11"/>
      <c r="AH39" s="11"/>
      <c r="AK39" s="11"/>
      <c r="AL39" s="11"/>
      <c r="AM39" s="11"/>
      <c r="AP39" s="11"/>
      <c r="AQ39" s="11"/>
      <c r="AR39" s="11"/>
    </row>
    <row r="40" ht="15.75" customHeight="1">
      <c r="A40" s="54"/>
      <c r="B40" s="55"/>
      <c r="C40" s="55"/>
      <c r="D40" s="55"/>
      <c r="E40" s="56"/>
      <c r="F40" s="29"/>
      <c r="G40" s="29"/>
      <c r="H40" s="29"/>
      <c r="I40" s="29"/>
      <c r="J40" s="29"/>
      <c r="K40" s="29"/>
      <c r="L40" s="11"/>
      <c r="M40" s="11"/>
      <c r="N40" s="11"/>
      <c r="O40" s="11"/>
      <c r="P40" s="11"/>
      <c r="Q40" s="11"/>
      <c r="R40" s="11"/>
      <c r="S40" s="30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F40" s="11"/>
      <c r="AG40" s="11"/>
      <c r="AH40" s="11"/>
      <c r="AK40" s="11"/>
      <c r="AL40" s="11"/>
      <c r="AM40" s="11"/>
      <c r="AP40" s="11"/>
      <c r="AQ40" s="11"/>
      <c r="AR40" s="11"/>
    </row>
    <row r="41" ht="15.75" customHeight="1">
      <c r="A41" s="1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11"/>
      <c r="M41" s="11"/>
      <c r="N41" s="11"/>
      <c r="O41" s="11"/>
      <c r="P41" s="11"/>
      <c r="Q41" s="11"/>
      <c r="R41" s="11"/>
      <c r="S41" s="30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F41" s="11"/>
      <c r="AG41" s="11"/>
      <c r="AH41" s="11"/>
      <c r="AK41" s="11"/>
      <c r="AL41" s="11"/>
      <c r="AM41" s="11"/>
      <c r="AP41" s="11"/>
      <c r="AQ41" s="11"/>
      <c r="AR41" s="11"/>
    </row>
    <row r="42" ht="15.75" customHeight="1">
      <c r="A42" s="1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11"/>
      <c r="M42" s="11"/>
      <c r="N42" s="11"/>
      <c r="O42" s="11"/>
      <c r="P42" s="11"/>
      <c r="Q42" s="11"/>
      <c r="R42" s="11"/>
      <c r="S42" s="30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F42" s="11"/>
      <c r="AG42" s="11"/>
      <c r="AH42" s="11"/>
      <c r="AK42" s="11"/>
      <c r="AL42" s="11"/>
      <c r="AM42" s="11"/>
      <c r="AP42" s="11"/>
      <c r="AQ42" s="11"/>
      <c r="AR42" s="11"/>
    </row>
    <row r="43" ht="15.75" customHeight="1">
      <c r="A43" s="1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11"/>
      <c r="M43" s="11"/>
      <c r="N43" s="11"/>
      <c r="O43" s="11"/>
      <c r="P43" s="11"/>
      <c r="Q43" s="11"/>
      <c r="R43" s="11"/>
      <c r="S43" s="30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F43" s="11"/>
      <c r="AG43" s="11"/>
      <c r="AH43" s="11"/>
      <c r="AK43" s="11"/>
      <c r="AL43" s="11"/>
      <c r="AM43" s="11"/>
      <c r="AP43" s="11"/>
      <c r="AQ43" s="11"/>
      <c r="AR43" s="11"/>
    </row>
    <row r="44" ht="15.75" customHeight="1">
      <c r="A44" s="1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1"/>
      <c r="M44" s="11"/>
      <c r="N44" s="11"/>
      <c r="O44" s="11"/>
      <c r="P44" s="11"/>
      <c r="Q44" s="11"/>
      <c r="R44" s="11"/>
      <c r="S44" s="30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F44" s="11"/>
      <c r="AG44" s="11"/>
      <c r="AH44" s="11"/>
      <c r="AK44" s="11"/>
      <c r="AL44" s="11"/>
      <c r="AM44" s="11"/>
      <c r="AP44" s="11"/>
      <c r="AQ44" s="11"/>
      <c r="AR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29"/>
      <c r="J45" s="29"/>
      <c r="K45" s="29"/>
      <c r="L45" s="11"/>
      <c r="M45" s="11"/>
      <c r="N45" s="11"/>
      <c r="O45" s="11"/>
      <c r="P45" s="11"/>
      <c r="Q45" s="11"/>
      <c r="R45" s="11"/>
      <c r="S45" s="30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F45" s="11"/>
      <c r="AG45" s="11"/>
      <c r="AH45" s="11"/>
      <c r="AK45" s="11"/>
      <c r="AL45" s="11"/>
      <c r="AM45" s="11"/>
      <c r="AP45" s="11"/>
      <c r="AQ45" s="11"/>
      <c r="AR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29"/>
      <c r="J46" s="29"/>
      <c r="K46" s="29"/>
      <c r="L46" s="11"/>
      <c r="M46" s="11"/>
      <c r="N46" s="11"/>
      <c r="O46" s="11"/>
      <c r="P46" s="11"/>
      <c r="Q46" s="11"/>
      <c r="R46" s="11"/>
      <c r="S46" s="30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F46" s="11"/>
      <c r="AG46" s="11"/>
      <c r="AH46" s="11"/>
      <c r="AK46" s="11"/>
      <c r="AL46" s="11"/>
      <c r="AM46" s="11"/>
      <c r="AP46" s="11"/>
      <c r="AQ46" s="11"/>
      <c r="AR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29"/>
      <c r="J47" s="29"/>
      <c r="K47" s="29"/>
      <c r="L47" s="11"/>
      <c r="M47" s="11"/>
      <c r="N47" s="11"/>
      <c r="O47" s="11"/>
      <c r="P47" s="11"/>
      <c r="Q47" s="11"/>
      <c r="R47" s="11"/>
      <c r="S47" s="3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F47" s="11"/>
      <c r="AG47" s="11"/>
      <c r="AH47" s="11"/>
      <c r="AK47" s="11"/>
      <c r="AL47" s="11"/>
      <c r="AM47" s="11"/>
      <c r="AP47" s="11"/>
      <c r="AQ47" s="11"/>
      <c r="AR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29"/>
      <c r="J48" s="29"/>
      <c r="K48" s="29"/>
      <c r="L48" s="11"/>
      <c r="M48" s="11"/>
      <c r="N48" s="11"/>
      <c r="O48" s="11"/>
      <c r="P48" s="11"/>
      <c r="Q48" s="11"/>
      <c r="R48" s="11"/>
      <c r="S48" s="30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F48" s="11"/>
      <c r="AG48" s="11"/>
      <c r="AH48" s="11"/>
      <c r="AK48" s="11"/>
      <c r="AL48" s="11"/>
      <c r="AM48" s="11"/>
      <c r="AP48" s="11"/>
      <c r="AQ48" s="11"/>
      <c r="AR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29"/>
      <c r="J49" s="29"/>
      <c r="K49" s="29"/>
      <c r="L49" s="11"/>
      <c r="M49" s="11"/>
      <c r="N49" s="11"/>
      <c r="O49" s="11"/>
      <c r="P49" s="11"/>
      <c r="Q49" s="11"/>
      <c r="R49" s="11"/>
      <c r="S49" s="30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F49" s="11"/>
      <c r="AG49" s="11"/>
      <c r="AH49" s="11"/>
      <c r="AK49" s="11"/>
      <c r="AL49" s="11"/>
      <c r="AM49" s="11"/>
      <c r="AP49" s="11"/>
      <c r="AQ49" s="11"/>
      <c r="AR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29"/>
      <c r="J50" s="29"/>
      <c r="K50" s="29"/>
      <c r="L50" s="11"/>
      <c r="M50" s="11"/>
      <c r="N50" s="11"/>
      <c r="O50" s="11"/>
      <c r="P50" s="11"/>
      <c r="Q50" s="11"/>
      <c r="R50" s="11"/>
      <c r="S50" s="30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F50" s="11"/>
      <c r="AG50" s="11"/>
      <c r="AH50" s="11"/>
      <c r="AK50" s="11"/>
      <c r="AL50" s="11"/>
      <c r="AM50" s="11"/>
      <c r="AP50" s="11"/>
      <c r="AQ50" s="11"/>
      <c r="AR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29"/>
      <c r="J51" s="29"/>
      <c r="K51" s="29"/>
      <c r="L51" s="11"/>
      <c r="M51" s="11"/>
      <c r="N51" s="11"/>
      <c r="O51" s="11"/>
      <c r="P51" s="11"/>
      <c r="Q51" s="11"/>
      <c r="R51" s="11"/>
      <c r="S51" s="30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F51" s="11"/>
      <c r="AG51" s="11"/>
      <c r="AH51" s="11"/>
      <c r="AK51" s="11"/>
      <c r="AL51" s="11"/>
      <c r="AM51" s="11"/>
      <c r="AP51" s="11"/>
      <c r="AQ51" s="11"/>
      <c r="AR51" s="11"/>
    </row>
    <row r="52" ht="15.75" customHeight="1">
      <c r="A52" s="11"/>
      <c r="B52" s="30"/>
      <c r="C52" s="30"/>
      <c r="D52" s="30"/>
      <c r="E52" s="30"/>
      <c r="F52" s="30"/>
      <c r="G52" s="30"/>
      <c r="H52" s="30"/>
      <c r="I52" s="29"/>
      <c r="J52" s="29"/>
      <c r="K52" s="29"/>
      <c r="L52" s="11"/>
      <c r="M52" s="11"/>
      <c r="N52" s="11"/>
      <c r="O52" s="11"/>
      <c r="P52" s="11"/>
      <c r="Q52" s="11"/>
      <c r="R52" s="11"/>
      <c r="S52" s="30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F52" s="11"/>
      <c r="AG52" s="11"/>
      <c r="AH52" s="11"/>
      <c r="AK52" s="11"/>
      <c r="AL52" s="11"/>
      <c r="AM52" s="11"/>
      <c r="AP52" s="11"/>
      <c r="AQ52" s="11"/>
      <c r="AR52" s="11"/>
    </row>
    <row r="53" ht="15.75" customHeight="1">
      <c r="A53" s="9"/>
      <c r="B53" s="9"/>
      <c r="C53" s="29"/>
      <c r="D53" s="29"/>
      <c r="E53" s="29"/>
      <c r="F53" s="29"/>
      <c r="G53" s="29"/>
      <c r="H53" s="29"/>
      <c r="I53" s="29"/>
      <c r="J53" s="29"/>
      <c r="K53" s="29"/>
      <c r="L53" s="11"/>
      <c r="M53" s="11"/>
      <c r="N53" s="11"/>
      <c r="O53" s="11"/>
      <c r="P53" s="11"/>
      <c r="Q53" s="11"/>
      <c r="R53" s="11"/>
      <c r="S53" s="30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F53" s="11"/>
      <c r="AG53" s="11"/>
      <c r="AH53" s="11"/>
      <c r="AK53" s="11"/>
      <c r="AL53" s="11"/>
      <c r="AM53" s="11"/>
      <c r="AP53" s="11"/>
      <c r="AQ53" s="11"/>
      <c r="AR53" s="11"/>
    </row>
    <row r="54" ht="15.75" customHeight="1">
      <c r="A54" s="11"/>
      <c r="B54" s="11"/>
      <c r="C54" s="11"/>
      <c r="D54" s="11"/>
      <c r="E54" s="11"/>
      <c r="F54" s="29"/>
      <c r="G54" s="29"/>
      <c r="H54" s="29"/>
      <c r="I54" s="29"/>
      <c r="J54" s="29"/>
      <c r="K54" s="29"/>
      <c r="L54" s="11"/>
      <c r="M54" s="11"/>
      <c r="N54" s="11"/>
      <c r="O54" s="11"/>
      <c r="P54" s="11"/>
      <c r="Q54" s="11"/>
      <c r="R54" s="11"/>
      <c r="S54" s="30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F54" s="11"/>
      <c r="AG54" s="11"/>
      <c r="AH54" s="11"/>
      <c r="AK54" s="11"/>
      <c r="AL54" s="11"/>
      <c r="AM54" s="11"/>
      <c r="AP54" s="11"/>
      <c r="AQ54" s="11"/>
      <c r="AR54" s="11"/>
    </row>
    <row r="55" ht="15.75" customHeight="1">
      <c r="A55" s="11"/>
      <c r="B55" s="11"/>
      <c r="C55" s="11"/>
      <c r="D55" s="11"/>
      <c r="E55" s="11"/>
      <c r="F55" s="29"/>
      <c r="G55" s="29"/>
      <c r="H55" s="29"/>
      <c r="I55" s="29"/>
      <c r="J55" s="29"/>
      <c r="K55" s="29"/>
      <c r="L55" s="11"/>
      <c r="M55" s="11"/>
      <c r="N55" s="11"/>
      <c r="O55" s="11"/>
      <c r="P55" s="11"/>
      <c r="Q55" s="11"/>
      <c r="R55" s="11"/>
      <c r="S55" s="3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F55" s="11"/>
      <c r="AG55" s="11"/>
      <c r="AH55" s="11"/>
      <c r="AK55" s="11"/>
      <c r="AL55" s="11"/>
      <c r="AM55" s="11"/>
      <c r="AP55" s="11"/>
      <c r="AQ55" s="11"/>
      <c r="AR55" s="11"/>
    </row>
    <row r="56" ht="15.75" customHeight="1">
      <c r="A56" s="11"/>
      <c r="B56" s="11"/>
      <c r="C56" s="11"/>
      <c r="D56" s="11"/>
      <c r="E56" s="11"/>
      <c r="F56" s="29"/>
      <c r="G56" s="29"/>
      <c r="H56" s="29"/>
      <c r="I56" s="29"/>
      <c r="J56" s="29"/>
      <c r="K56" s="29"/>
      <c r="L56" s="11"/>
      <c r="M56" s="11"/>
      <c r="N56" s="11"/>
      <c r="O56" s="11"/>
      <c r="P56" s="11"/>
      <c r="Q56" s="11"/>
      <c r="R56" s="11"/>
      <c r="S56" s="30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F56" s="11"/>
      <c r="AG56" s="11"/>
      <c r="AH56" s="11"/>
      <c r="AK56" s="11"/>
      <c r="AL56" s="11"/>
      <c r="AM56" s="11"/>
      <c r="AP56" s="11"/>
      <c r="AQ56" s="11"/>
      <c r="AR56" s="11"/>
    </row>
    <row r="57" ht="15.75" customHeight="1">
      <c r="A57" s="11"/>
      <c r="B57" s="11"/>
      <c r="C57" s="11"/>
      <c r="D57" s="11"/>
      <c r="E57" s="11"/>
      <c r="F57" s="29"/>
      <c r="G57" s="29"/>
      <c r="H57" s="29"/>
      <c r="I57" s="29"/>
      <c r="J57" s="29"/>
      <c r="K57" s="29"/>
      <c r="L57" s="11"/>
      <c r="M57" s="11"/>
      <c r="N57" s="11"/>
      <c r="O57" s="11"/>
      <c r="P57" s="11"/>
      <c r="Q57" s="11"/>
      <c r="R57" s="11"/>
      <c r="S57" s="30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F57" s="11"/>
      <c r="AG57" s="11"/>
      <c r="AH57" s="11"/>
      <c r="AK57" s="11"/>
      <c r="AL57" s="11"/>
      <c r="AM57" s="11"/>
      <c r="AP57" s="11"/>
      <c r="AQ57" s="11"/>
      <c r="AR57" s="11"/>
    </row>
    <row r="58" ht="15.75" customHeight="1">
      <c r="A58" s="11"/>
      <c r="B58" s="11"/>
      <c r="C58" s="11"/>
      <c r="D58" s="11"/>
      <c r="E58" s="11"/>
      <c r="F58" s="29"/>
      <c r="G58" s="29"/>
      <c r="H58" s="29"/>
      <c r="I58" s="29"/>
      <c r="J58" s="29"/>
      <c r="K58" s="29"/>
      <c r="L58" s="11"/>
      <c r="M58" s="11"/>
      <c r="N58" s="11"/>
      <c r="O58" s="11"/>
      <c r="P58" s="11"/>
      <c r="Q58" s="11"/>
      <c r="R58" s="11"/>
      <c r="S58" s="30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F58" s="11"/>
      <c r="AG58" s="11"/>
      <c r="AH58" s="11"/>
      <c r="AK58" s="11"/>
      <c r="AL58" s="11"/>
      <c r="AM58" s="11"/>
      <c r="AP58" s="11"/>
      <c r="AQ58" s="11"/>
      <c r="AR58" s="11"/>
    </row>
    <row r="59" ht="15.75" customHeight="1">
      <c r="A59" s="11"/>
      <c r="B59" s="11"/>
      <c r="C59" s="11"/>
      <c r="D59" s="11"/>
      <c r="E59" s="11"/>
      <c r="F59" s="29"/>
      <c r="G59" s="29"/>
      <c r="H59" s="29"/>
      <c r="I59" s="29"/>
      <c r="J59" s="29"/>
      <c r="K59" s="29"/>
      <c r="L59" s="11"/>
      <c r="M59" s="11"/>
      <c r="N59" s="11"/>
      <c r="O59" s="11"/>
      <c r="P59" s="11"/>
      <c r="Q59" s="11"/>
      <c r="R59" s="11"/>
      <c r="S59" s="30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F59" s="11"/>
      <c r="AG59" s="11"/>
      <c r="AH59" s="11"/>
      <c r="AK59" s="11"/>
      <c r="AL59" s="11"/>
      <c r="AM59" s="11"/>
      <c r="AP59" s="11"/>
      <c r="AQ59" s="11"/>
      <c r="AR59" s="11"/>
    </row>
    <row r="60" ht="15.75" customHeight="1">
      <c r="A60" s="9"/>
      <c r="B60" s="9"/>
      <c r="C60" s="29"/>
      <c r="D60" s="29"/>
      <c r="E60" s="29"/>
      <c r="F60" s="29"/>
      <c r="G60" s="29"/>
      <c r="H60" s="29"/>
      <c r="I60" s="29"/>
      <c r="J60" s="29"/>
      <c r="K60" s="29"/>
      <c r="L60" s="11"/>
      <c r="M60" s="11"/>
      <c r="N60" s="11"/>
      <c r="O60" s="11"/>
      <c r="P60" s="11"/>
      <c r="Q60" s="11"/>
      <c r="R60" s="11"/>
      <c r="S60" s="30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F60" s="11"/>
      <c r="AG60" s="11"/>
      <c r="AH60" s="11"/>
      <c r="AK60" s="11"/>
      <c r="AL60" s="11"/>
      <c r="AM60" s="11"/>
      <c r="AP60" s="11"/>
      <c r="AQ60" s="11"/>
      <c r="AR60" s="11"/>
    </row>
    <row r="61" ht="15.75" customHeight="1">
      <c r="A61" s="9"/>
      <c r="B61" s="9"/>
      <c r="C61" s="29"/>
      <c r="D61" s="29"/>
      <c r="E61" s="29"/>
      <c r="F61" s="29"/>
      <c r="G61" s="29"/>
      <c r="H61" s="29"/>
      <c r="I61" s="29"/>
      <c r="J61" s="29"/>
      <c r="K61" s="29"/>
      <c r="L61" s="11"/>
      <c r="M61" s="11"/>
      <c r="N61" s="11"/>
      <c r="O61" s="11"/>
      <c r="P61" s="11"/>
      <c r="Q61" s="11"/>
      <c r="R61" s="11"/>
      <c r="S61" s="30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F61" s="11"/>
      <c r="AG61" s="11"/>
      <c r="AH61" s="11"/>
      <c r="AK61" s="11"/>
      <c r="AL61" s="11"/>
      <c r="AM61" s="11"/>
      <c r="AP61" s="11"/>
      <c r="AQ61" s="11"/>
      <c r="AR61" s="11"/>
    </row>
    <row r="62" ht="15.75" customHeight="1">
      <c r="A62" s="9"/>
      <c r="B62" s="9"/>
      <c r="C62" s="29"/>
      <c r="D62" s="29"/>
      <c r="E62" s="29"/>
      <c r="F62" s="29"/>
      <c r="G62" s="29"/>
      <c r="H62" s="29"/>
      <c r="I62" s="29"/>
      <c r="J62" s="29"/>
      <c r="K62" s="29"/>
      <c r="L62" s="11"/>
      <c r="M62" s="11"/>
      <c r="N62" s="11"/>
      <c r="O62" s="11"/>
      <c r="P62" s="11"/>
      <c r="Q62" s="11"/>
      <c r="R62" s="11"/>
      <c r="S62" s="30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F62" s="11"/>
      <c r="AG62" s="11"/>
      <c r="AH62" s="11"/>
      <c r="AK62" s="11"/>
      <c r="AL62" s="11"/>
      <c r="AM62" s="11"/>
      <c r="AP62" s="11"/>
      <c r="AQ62" s="11"/>
      <c r="AR62" s="11"/>
    </row>
    <row r="63" ht="15.75" customHeight="1">
      <c r="A63" s="9"/>
      <c r="B63" s="9"/>
      <c r="C63" s="29"/>
      <c r="D63" s="29"/>
      <c r="E63" s="29"/>
      <c r="F63" s="29"/>
      <c r="G63" s="29"/>
      <c r="H63" s="29"/>
      <c r="I63" s="29"/>
      <c r="J63" s="29"/>
      <c r="K63" s="29"/>
      <c r="L63" s="11"/>
      <c r="M63" s="11"/>
      <c r="N63" s="11"/>
      <c r="O63" s="11"/>
      <c r="P63" s="11"/>
      <c r="Q63" s="11"/>
      <c r="R63" s="11"/>
      <c r="S63" s="30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F63" s="11"/>
      <c r="AG63" s="11"/>
      <c r="AH63" s="11"/>
      <c r="AK63" s="11"/>
      <c r="AL63" s="11"/>
      <c r="AM63" s="11"/>
      <c r="AP63" s="11"/>
      <c r="AQ63" s="11"/>
      <c r="AR63" s="11"/>
    </row>
    <row r="64" ht="15.75" customHeight="1">
      <c r="A64" s="9"/>
      <c r="B64" s="9"/>
      <c r="C64" s="29"/>
      <c r="D64" s="29"/>
      <c r="E64" s="29"/>
      <c r="F64" s="29"/>
      <c r="G64" s="29"/>
      <c r="H64" s="29"/>
      <c r="I64" s="29"/>
      <c r="J64" s="29"/>
      <c r="K64" s="29"/>
      <c r="L64" s="11"/>
      <c r="M64" s="11"/>
      <c r="N64" s="11"/>
      <c r="O64" s="11"/>
      <c r="P64" s="11"/>
      <c r="Q64" s="11"/>
      <c r="R64" s="11"/>
      <c r="S64" s="30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F64" s="11"/>
      <c r="AG64" s="11"/>
      <c r="AH64" s="11"/>
      <c r="AK64" s="11"/>
      <c r="AL64" s="11"/>
      <c r="AM64" s="11"/>
      <c r="AP64" s="11"/>
      <c r="AQ64" s="11"/>
      <c r="AR64" s="11"/>
    </row>
    <row r="65" ht="15.75" customHeight="1">
      <c r="A65" s="9"/>
      <c r="B65" s="9"/>
      <c r="C65" s="29"/>
      <c r="D65" s="29"/>
      <c r="E65" s="29"/>
      <c r="F65" s="29"/>
      <c r="G65" s="29"/>
      <c r="H65" s="29"/>
      <c r="I65" s="29"/>
      <c r="J65" s="29"/>
      <c r="K65" s="29"/>
      <c r="L65" s="11"/>
      <c r="M65" s="11"/>
      <c r="N65" s="11"/>
      <c r="O65" s="11"/>
      <c r="P65" s="11"/>
      <c r="Q65" s="11"/>
      <c r="R65" s="11"/>
      <c r="S65" s="30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F65" s="11"/>
      <c r="AG65" s="11"/>
      <c r="AH65" s="11"/>
      <c r="AK65" s="11"/>
      <c r="AL65" s="11"/>
      <c r="AM65" s="11"/>
      <c r="AP65" s="11"/>
      <c r="AQ65" s="11"/>
      <c r="AR65" s="11"/>
    </row>
    <row r="66" ht="15.75" customHeight="1">
      <c r="A66" s="9"/>
      <c r="B66" s="9"/>
      <c r="C66" s="29"/>
      <c r="D66" s="29"/>
      <c r="E66" s="29"/>
      <c r="F66" s="29"/>
      <c r="G66" s="29"/>
      <c r="H66" s="29"/>
      <c r="I66" s="29"/>
      <c r="J66" s="29"/>
      <c r="K66" s="29"/>
      <c r="L66" s="11"/>
      <c r="M66" s="11"/>
      <c r="N66" s="11"/>
      <c r="O66" s="11"/>
      <c r="P66" s="11"/>
      <c r="Q66" s="11"/>
      <c r="R66" s="11"/>
      <c r="S66" s="30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F66" s="11"/>
      <c r="AG66" s="11"/>
      <c r="AH66" s="11"/>
      <c r="AK66" s="11"/>
      <c r="AL66" s="11"/>
      <c r="AM66" s="11"/>
      <c r="AP66" s="11"/>
      <c r="AQ66" s="11"/>
      <c r="AR66" s="11"/>
    </row>
    <row r="67" ht="15.75" customHeight="1">
      <c r="A67" s="9"/>
      <c r="B67" s="9"/>
      <c r="C67" s="29"/>
      <c r="D67" s="29"/>
      <c r="E67" s="29"/>
      <c r="F67" s="29"/>
      <c r="G67" s="29"/>
      <c r="H67" s="29"/>
      <c r="I67" s="29"/>
      <c r="J67" s="29"/>
      <c r="K67" s="29"/>
      <c r="L67" s="11"/>
      <c r="M67" s="11"/>
      <c r="N67" s="11"/>
      <c r="O67" s="11"/>
      <c r="P67" s="11"/>
      <c r="Q67" s="11"/>
      <c r="R67" s="11"/>
      <c r="S67" s="30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F67" s="11"/>
      <c r="AG67" s="11"/>
      <c r="AH67" s="11"/>
      <c r="AK67" s="11"/>
      <c r="AL67" s="11"/>
      <c r="AM67" s="11"/>
      <c r="AP67" s="11"/>
      <c r="AQ67" s="11"/>
      <c r="AR67" s="11"/>
    </row>
    <row r="68" ht="15.75" customHeight="1">
      <c r="A68" s="9"/>
      <c r="B68" s="9"/>
      <c r="C68" s="29"/>
      <c r="D68" s="29"/>
      <c r="E68" s="29"/>
      <c r="F68" s="29"/>
      <c r="G68" s="29"/>
      <c r="H68" s="29"/>
      <c r="I68" s="29"/>
      <c r="J68" s="29"/>
      <c r="K68" s="29"/>
      <c r="L68" s="11"/>
      <c r="M68" s="11"/>
      <c r="N68" s="11"/>
      <c r="O68" s="11"/>
      <c r="P68" s="11"/>
      <c r="Q68" s="11"/>
      <c r="R68" s="11"/>
      <c r="S68" s="30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F68" s="11"/>
      <c r="AG68" s="11"/>
      <c r="AH68" s="11"/>
      <c r="AK68" s="11"/>
      <c r="AL68" s="11"/>
      <c r="AM68" s="11"/>
      <c r="AP68" s="11"/>
      <c r="AQ68" s="11"/>
      <c r="AR68" s="11"/>
    </row>
    <row r="69" ht="15.75" customHeight="1">
      <c r="A69" s="9"/>
      <c r="B69" s="9"/>
      <c r="C69" s="29"/>
      <c r="D69" s="29"/>
      <c r="E69" s="29"/>
      <c r="F69" s="29"/>
      <c r="G69" s="29"/>
      <c r="H69" s="29"/>
      <c r="I69" s="29"/>
      <c r="J69" s="29"/>
      <c r="K69" s="29"/>
      <c r="L69" s="11"/>
      <c r="M69" s="11"/>
      <c r="N69" s="11"/>
      <c r="O69" s="11"/>
      <c r="P69" s="11"/>
      <c r="Q69" s="11"/>
      <c r="R69" s="11"/>
      <c r="S69" s="30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F69" s="11"/>
      <c r="AG69" s="11"/>
      <c r="AH69" s="11"/>
      <c r="AK69" s="11"/>
      <c r="AL69" s="11"/>
      <c r="AM69" s="11"/>
      <c r="AP69" s="11"/>
      <c r="AQ69" s="11"/>
      <c r="AR69" s="11"/>
    </row>
    <row r="70" ht="15.75" customHeight="1">
      <c r="A70" s="9"/>
      <c r="B70" s="9"/>
      <c r="C70" s="29"/>
      <c r="D70" s="29"/>
      <c r="E70" s="29"/>
      <c r="F70" s="29"/>
      <c r="G70" s="29"/>
      <c r="H70" s="29"/>
      <c r="I70" s="29"/>
      <c r="J70" s="29"/>
      <c r="K70" s="29"/>
      <c r="L70" s="11"/>
      <c r="M70" s="11"/>
      <c r="N70" s="11"/>
      <c r="O70" s="11"/>
      <c r="P70" s="11"/>
      <c r="Q70" s="11"/>
      <c r="R70" s="11"/>
      <c r="S70" s="30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F70" s="11"/>
      <c r="AG70" s="11"/>
      <c r="AH70" s="11"/>
      <c r="AK70" s="11"/>
      <c r="AL70" s="11"/>
      <c r="AM70" s="11"/>
      <c r="AP70" s="11"/>
      <c r="AQ70" s="11"/>
      <c r="AR70" s="11"/>
    </row>
    <row r="71" ht="15.75" customHeight="1">
      <c r="A71" s="9"/>
      <c r="B71" s="9"/>
      <c r="C71" s="29"/>
      <c r="D71" s="29"/>
      <c r="E71" s="29"/>
      <c r="F71" s="29"/>
      <c r="G71" s="29"/>
      <c r="H71" s="29"/>
      <c r="I71" s="29"/>
      <c r="J71" s="29"/>
      <c r="K71" s="29"/>
      <c r="L71" s="11"/>
      <c r="M71" s="11"/>
      <c r="N71" s="11"/>
      <c r="O71" s="11"/>
      <c r="P71" s="11"/>
      <c r="Q71" s="11"/>
      <c r="R71" s="11"/>
      <c r="S71" s="3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F71" s="11"/>
      <c r="AG71" s="11"/>
      <c r="AH71" s="11"/>
      <c r="AK71" s="11"/>
      <c r="AL71" s="11"/>
      <c r="AM71" s="11"/>
      <c r="AP71" s="11"/>
      <c r="AQ71" s="11"/>
      <c r="AR71" s="11"/>
    </row>
    <row r="72" ht="15.75" customHeight="1">
      <c r="A72" s="9"/>
      <c r="B72" s="9"/>
      <c r="C72" s="29"/>
      <c r="D72" s="29"/>
      <c r="E72" s="29"/>
      <c r="F72" s="29"/>
      <c r="G72" s="29"/>
      <c r="H72" s="29"/>
      <c r="I72" s="29"/>
      <c r="J72" s="29"/>
      <c r="K72" s="29"/>
      <c r="L72" s="11"/>
      <c r="M72" s="11"/>
      <c r="N72" s="11"/>
      <c r="O72" s="11"/>
      <c r="P72" s="11"/>
      <c r="Q72" s="11"/>
      <c r="R72" s="11"/>
      <c r="S72" s="30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F72" s="11"/>
      <c r="AG72" s="11"/>
      <c r="AH72" s="11"/>
      <c r="AK72" s="11"/>
      <c r="AL72" s="11"/>
      <c r="AM72" s="11"/>
      <c r="AP72" s="11"/>
      <c r="AQ72" s="11"/>
      <c r="AR72" s="11"/>
    </row>
    <row r="73" ht="15.75" customHeight="1">
      <c r="A73" s="9"/>
      <c r="B73" s="9"/>
      <c r="C73" s="29"/>
      <c r="D73" s="29"/>
      <c r="E73" s="29"/>
      <c r="F73" s="29"/>
      <c r="G73" s="29"/>
      <c r="H73" s="29"/>
      <c r="I73" s="29"/>
      <c r="J73" s="29"/>
      <c r="K73" s="29"/>
      <c r="L73" s="11"/>
      <c r="M73" s="11"/>
      <c r="N73" s="11"/>
      <c r="O73" s="11"/>
      <c r="P73" s="11"/>
      <c r="Q73" s="11"/>
      <c r="R73" s="11"/>
      <c r="S73" s="30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F73" s="11"/>
      <c r="AG73" s="11"/>
      <c r="AH73" s="11"/>
      <c r="AK73" s="11"/>
      <c r="AL73" s="11"/>
      <c r="AM73" s="11"/>
      <c r="AP73" s="11"/>
      <c r="AQ73" s="11"/>
      <c r="AR73" s="11"/>
    </row>
    <row r="74" ht="15.75" customHeight="1">
      <c r="A74" s="9"/>
      <c r="B74" s="9"/>
      <c r="C74" s="29"/>
      <c r="D74" s="29"/>
      <c r="E74" s="29"/>
      <c r="F74" s="29"/>
      <c r="G74" s="29"/>
      <c r="H74" s="29"/>
      <c r="I74" s="29"/>
      <c r="J74" s="29"/>
      <c r="K74" s="29"/>
      <c r="L74" s="11"/>
      <c r="M74" s="11"/>
      <c r="N74" s="11"/>
      <c r="O74" s="11"/>
      <c r="P74" s="11"/>
      <c r="Q74" s="11"/>
      <c r="R74" s="11"/>
      <c r="S74" s="30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F74" s="11"/>
      <c r="AG74" s="11"/>
      <c r="AH74" s="11"/>
      <c r="AK74" s="11"/>
      <c r="AL74" s="11"/>
      <c r="AM74" s="11"/>
      <c r="AP74" s="11"/>
      <c r="AQ74" s="11"/>
      <c r="AR74" s="11"/>
    </row>
    <row r="75" ht="15.75" customHeight="1">
      <c r="A75" s="9"/>
      <c r="B75" s="9"/>
      <c r="C75" s="29"/>
      <c r="D75" s="29"/>
      <c r="E75" s="29"/>
      <c r="F75" s="29"/>
      <c r="G75" s="29"/>
      <c r="H75" s="29"/>
      <c r="I75" s="29"/>
      <c r="J75" s="29"/>
      <c r="K75" s="29"/>
      <c r="L75" s="11"/>
      <c r="M75" s="11"/>
      <c r="N75" s="11"/>
      <c r="O75" s="11"/>
      <c r="P75" s="11"/>
      <c r="Q75" s="11"/>
      <c r="R75" s="11"/>
      <c r="S75" s="30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F75" s="11"/>
      <c r="AG75" s="11"/>
      <c r="AH75" s="11"/>
      <c r="AK75" s="11"/>
      <c r="AL75" s="11"/>
      <c r="AM75" s="11"/>
      <c r="AP75" s="11"/>
      <c r="AQ75" s="11"/>
      <c r="AR75" s="11"/>
    </row>
    <row r="76" ht="15.75" customHeight="1">
      <c r="A76" s="9"/>
      <c r="B76" s="9"/>
      <c r="C76" s="29"/>
      <c r="D76" s="29"/>
      <c r="E76" s="29"/>
      <c r="F76" s="29"/>
      <c r="G76" s="29"/>
      <c r="H76" s="29"/>
      <c r="I76" s="29"/>
      <c r="J76" s="29"/>
      <c r="K76" s="29"/>
      <c r="L76" s="11"/>
      <c r="M76" s="11"/>
      <c r="N76" s="11"/>
      <c r="O76" s="11"/>
      <c r="P76" s="11"/>
      <c r="Q76" s="11"/>
      <c r="R76" s="11"/>
      <c r="S76" s="30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F76" s="11"/>
      <c r="AG76" s="11"/>
      <c r="AH76" s="11"/>
      <c r="AK76" s="11"/>
      <c r="AL76" s="11"/>
      <c r="AM76" s="11"/>
      <c r="AP76" s="11"/>
      <c r="AQ76" s="11"/>
      <c r="AR76" s="11"/>
    </row>
    <row r="77" ht="15.75" customHeight="1">
      <c r="A77" s="9"/>
      <c r="B77" s="9"/>
      <c r="C77" s="29"/>
      <c r="D77" s="29"/>
      <c r="E77" s="29"/>
      <c r="F77" s="29"/>
      <c r="G77" s="29"/>
      <c r="H77" s="29"/>
      <c r="I77" s="29"/>
      <c r="J77" s="29"/>
      <c r="K77" s="29"/>
      <c r="L77" s="11"/>
      <c r="M77" s="11"/>
      <c r="N77" s="11"/>
      <c r="O77" s="11"/>
      <c r="P77" s="11"/>
      <c r="Q77" s="11"/>
      <c r="R77" s="11"/>
      <c r="S77" s="30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F77" s="11"/>
      <c r="AG77" s="11"/>
      <c r="AH77" s="11"/>
      <c r="AK77" s="11"/>
      <c r="AL77" s="11"/>
      <c r="AM77" s="11"/>
      <c r="AP77" s="11"/>
      <c r="AQ77" s="11"/>
      <c r="AR77" s="11"/>
    </row>
    <row r="78" ht="15.75" customHeight="1">
      <c r="A78" s="9"/>
      <c r="B78" s="9"/>
      <c r="C78" s="29"/>
      <c r="D78" s="29"/>
      <c r="E78" s="29"/>
      <c r="F78" s="29"/>
      <c r="G78" s="29"/>
      <c r="H78" s="29"/>
      <c r="I78" s="29"/>
      <c r="J78" s="29"/>
      <c r="K78" s="29"/>
      <c r="L78" s="11"/>
      <c r="M78" s="11"/>
      <c r="N78" s="11"/>
      <c r="O78" s="11"/>
      <c r="P78" s="11"/>
      <c r="Q78" s="11"/>
      <c r="R78" s="11"/>
      <c r="S78" s="30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F78" s="11"/>
      <c r="AG78" s="11"/>
      <c r="AH78" s="11"/>
      <c r="AK78" s="11"/>
      <c r="AL78" s="11"/>
      <c r="AM78" s="11"/>
      <c r="AP78" s="11"/>
      <c r="AQ78" s="11"/>
      <c r="AR78" s="11"/>
    </row>
    <row r="79" ht="15.75" customHeight="1">
      <c r="A79" s="9"/>
      <c r="B79" s="9"/>
      <c r="C79" s="29"/>
      <c r="D79" s="29"/>
      <c r="E79" s="29"/>
      <c r="F79" s="29"/>
      <c r="G79" s="29"/>
      <c r="H79" s="29"/>
      <c r="I79" s="29"/>
      <c r="J79" s="29"/>
      <c r="K79" s="29"/>
      <c r="L79" s="11"/>
      <c r="M79" s="11"/>
      <c r="N79" s="11"/>
      <c r="O79" s="11"/>
      <c r="P79" s="11"/>
      <c r="Q79" s="11"/>
      <c r="R79" s="11"/>
      <c r="S79" s="30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F79" s="11"/>
      <c r="AG79" s="11"/>
      <c r="AH79" s="11"/>
      <c r="AK79" s="11"/>
      <c r="AL79" s="11"/>
      <c r="AM79" s="11"/>
      <c r="AP79" s="11"/>
      <c r="AQ79" s="11"/>
      <c r="AR79" s="11"/>
    </row>
    <row r="80" ht="15.75" customHeight="1">
      <c r="A80" s="9"/>
      <c r="B80" s="9"/>
      <c r="C80" s="29"/>
      <c r="D80" s="29"/>
      <c r="E80" s="29"/>
      <c r="F80" s="29"/>
      <c r="G80" s="29"/>
      <c r="H80" s="29"/>
      <c r="I80" s="29"/>
      <c r="J80" s="29"/>
      <c r="K80" s="29"/>
      <c r="L80" s="11"/>
      <c r="M80" s="11"/>
      <c r="N80" s="11"/>
      <c r="O80" s="11"/>
      <c r="P80" s="11"/>
      <c r="Q80" s="11"/>
      <c r="R80" s="11"/>
      <c r="S80" s="30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F80" s="11"/>
      <c r="AG80" s="11"/>
      <c r="AH80" s="11"/>
      <c r="AK80" s="11"/>
      <c r="AL80" s="11"/>
      <c r="AM80" s="11"/>
      <c r="AP80" s="11"/>
      <c r="AQ80" s="11"/>
      <c r="AR80" s="11"/>
    </row>
    <row r="81" ht="15.75" customHeight="1">
      <c r="A81" s="9"/>
      <c r="B81" s="9"/>
      <c r="C81" s="29"/>
      <c r="D81" s="29"/>
      <c r="E81" s="29"/>
      <c r="F81" s="29"/>
      <c r="G81" s="29"/>
      <c r="H81" s="29"/>
      <c r="I81" s="29"/>
      <c r="J81" s="29"/>
      <c r="K81" s="29"/>
      <c r="L81" s="11"/>
      <c r="M81" s="11"/>
      <c r="N81" s="11"/>
      <c r="O81" s="11"/>
      <c r="P81" s="11"/>
      <c r="Q81" s="11"/>
      <c r="R81" s="11"/>
      <c r="S81" s="30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F81" s="11"/>
      <c r="AG81" s="11"/>
      <c r="AH81" s="11"/>
      <c r="AK81" s="11"/>
      <c r="AL81" s="11"/>
      <c r="AM81" s="11"/>
      <c r="AP81" s="11"/>
      <c r="AQ81" s="11"/>
      <c r="AR81" s="11"/>
    </row>
    <row r="82" ht="15.75" customHeight="1">
      <c r="A82" s="9"/>
      <c r="B82" s="9"/>
      <c r="C82" s="29"/>
      <c r="D82" s="29"/>
      <c r="E82" s="29"/>
      <c r="F82" s="29"/>
      <c r="G82" s="29"/>
      <c r="H82" s="29"/>
      <c r="I82" s="29"/>
      <c r="J82" s="29"/>
      <c r="K82" s="29"/>
      <c r="L82" s="11"/>
      <c r="M82" s="11"/>
      <c r="N82" s="11"/>
      <c r="O82" s="11"/>
      <c r="P82" s="11"/>
      <c r="Q82" s="11"/>
      <c r="R82" s="11"/>
      <c r="S82" s="30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F82" s="11"/>
      <c r="AG82" s="11"/>
      <c r="AH82" s="11"/>
      <c r="AK82" s="11"/>
      <c r="AL82" s="11"/>
      <c r="AM82" s="11"/>
      <c r="AP82" s="11"/>
      <c r="AQ82" s="11"/>
      <c r="AR82" s="11"/>
    </row>
    <row r="83" ht="15.75" customHeight="1">
      <c r="A83" s="9"/>
      <c r="B83" s="9"/>
      <c r="C83" s="29"/>
      <c r="D83" s="29"/>
      <c r="E83" s="29"/>
      <c r="F83" s="29"/>
      <c r="G83" s="29"/>
      <c r="H83" s="29"/>
      <c r="I83" s="29"/>
      <c r="J83" s="29"/>
      <c r="K83" s="29"/>
      <c r="L83" s="11"/>
      <c r="M83" s="11"/>
      <c r="N83" s="11"/>
      <c r="O83" s="11"/>
      <c r="P83" s="11"/>
      <c r="Q83" s="11"/>
      <c r="R83" s="11"/>
      <c r="S83" s="30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F83" s="11"/>
      <c r="AG83" s="11"/>
      <c r="AH83" s="11"/>
      <c r="AK83" s="11"/>
      <c r="AL83" s="11"/>
      <c r="AM83" s="11"/>
      <c r="AP83" s="11"/>
      <c r="AQ83" s="11"/>
      <c r="AR83" s="11"/>
    </row>
    <row r="84" ht="15.75" customHeight="1">
      <c r="A84" s="9"/>
      <c r="B84" s="9"/>
      <c r="C84" s="29"/>
      <c r="D84" s="29"/>
      <c r="E84" s="29"/>
      <c r="F84" s="29"/>
      <c r="G84" s="29"/>
      <c r="H84" s="29"/>
      <c r="I84" s="29"/>
      <c r="J84" s="29"/>
      <c r="K84" s="29"/>
      <c r="L84" s="11"/>
      <c r="M84" s="11"/>
      <c r="N84" s="11"/>
      <c r="O84" s="11"/>
      <c r="P84" s="11"/>
      <c r="Q84" s="11"/>
      <c r="R84" s="11"/>
      <c r="S84" s="30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F84" s="11"/>
      <c r="AG84" s="11"/>
      <c r="AH84" s="11"/>
      <c r="AK84" s="11"/>
      <c r="AL84" s="11"/>
      <c r="AM84" s="11"/>
      <c r="AP84" s="11"/>
      <c r="AQ84" s="11"/>
      <c r="AR84" s="11"/>
    </row>
    <row r="85" ht="15.75" customHeight="1">
      <c r="A85" s="9"/>
      <c r="B85" s="9"/>
      <c r="C85" s="29"/>
      <c r="D85" s="29"/>
      <c r="E85" s="29"/>
      <c r="F85" s="29"/>
      <c r="G85" s="29"/>
      <c r="H85" s="29"/>
      <c r="I85" s="29"/>
      <c r="J85" s="29"/>
      <c r="K85" s="29"/>
      <c r="L85" s="11"/>
      <c r="M85" s="11"/>
      <c r="N85" s="11"/>
      <c r="O85" s="11"/>
      <c r="P85" s="11"/>
      <c r="Q85" s="11"/>
      <c r="R85" s="11"/>
      <c r="S85" s="30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F85" s="11"/>
      <c r="AG85" s="11"/>
      <c r="AH85" s="11"/>
      <c r="AK85" s="11"/>
      <c r="AL85" s="11"/>
      <c r="AM85" s="11"/>
      <c r="AP85" s="11"/>
      <c r="AQ85" s="11"/>
      <c r="AR85" s="11"/>
    </row>
    <row r="86" ht="15.75" customHeight="1">
      <c r="A86" s="9"/>
      <c r="B86" s="9"/>
      <c r="C86" s="29"/>
      <c r="D86" s="29"/>
      <c r="E86" s="29"/>
      <c r="F86" s="29"/>
      <c r="G86" s="29"/>
      <c r="H86" s="29"/>
      <c r="I86" s="29"/>
      <c r="J86" s="29"/>
      <c r="K86" s="29"/>
      <c r="L86" s="11"/>
      <c r="M86" s="11"/>
      <c r="N86" s="11"/>
      <c r="O86" s="11"/>
      <c r="P86" s="11"/>
      <c r="Q86" s="11"/>
      <c r="R86" s="11"/>
      <c r="S86" s="30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F86" s="11"/>
      <c r="AG86" s="11"/>
      <c r="AH86" s="11"/>
      <c r="AK86" s="11"/>
      <c r="AL86" s="11"/>
      <c r="AM86" s="11"/>
      <c r="AP86" s="11"/>
      <c r="AQ86" s="11"/>
      <c r="AR86" s="11"/>
    </row>
    <row r="87" ht="15.75" customHeight="1">
      <c r="A87" s="9"/>
      <c r="B87" s="9"/>
      <c r="C87" s="29"/>
      <c r="D87" s="29"/>
      <c r="E87" s="29"/>
      <c r="F87" s="29"/>
      <c r="G87" s="29"/>
      <c r="H87" s="29"/>
      <c r="I87" s="29"/>
      <c r="J87" s="29"/>
      <c r="K87" s="29"/>
      <c r="L87" s="11"/>
      <c r="M87" s="11"/>
      <c r="N87" s="11"/>
      <c r="O87" s="11"/>
      <c r="P87" s="11"/>
      <c r="Q87" s="11"/>
      <c r="R87" s="11"/>
      <c r="S87" s="30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F87" s="11"/>
      <c r="AG87" s="11"/>
      <c r="AH87" s="11"/>
      <c r="AK87" s="11"/>
      <c r="AL87" s="11"/>
      <c r="AM87" s="11"/>
      <c r="AP87" s="11"/>
      <c r="AQ87" s="11"/>
      <c r="AR87" s="11"/>
    </row>
    <row r="88" ht="15.75" customHeight="1">
      <c r="A88" s="9"/>
      <c r="B88" s="9"/>
      <c r="C88" s="29"/>
      <c r="D88" s="29"/>
      <c r="E88" s="29"/>
      <c r="F88" s="29"/>
      <c r="G88" s="29"/>
      <c r="H88" s="29"/>
      <c r="I88" s="29"/>
      <c r="J88" s="29"/>
      <c r="K88" s="29"/>
      <c r="L88" s="11"/>
      <c r="M88" s="11"/>
      <c r="N88" s="11"/>
      <c r="O88" s="11"/>
      <c r="P88" s="11"/>
      <c r="Q88" s="11"/>
      <c r="R88" s="11"/>
      <c r="S88" s="30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F88" s="11"/>
      <c r="AG88" s="11"/>
      <c r="AH88" s="11"/>
      <c r="AK88" s="11"/>
      <c r="AL88" s="11"/>
      <c r="AM88" s="11"/>
      <c r="AP88" s="11"/>
      <c r="AQ88" s="11"/>
      <c r="AR88" s="11"/>
    </row>
    <row r="89" ht="15.75" customHeight="1">
      <c r="A89" s="9"/>
      <c r="B89" s="9"/>
      <c r="C89" s="29"/>
      <c r="D89" s="29"/>
      <c r="E89" s="29"/>
      <c r="F89" s="29"/>
      <c r="G89" s="29"/>
      <c r="H89" s="29"/>
      <c r="I89" s="29"/>
      <c r="J89" s="29"/>
      <c r="K89" s="29"/>
      <c r="L89" s="11"/>
      <c r="M89" s="11"/>
      <c r="N89" s="11"/>
      <c r="O89" s="11"/>
      <c r="P89" s="11"/>
      <c r="Q89" s="11"/>
      <c r="R89" s="11"/>
      <c r="S89" s="30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F89" s="11"/>
      <c r="AG89" s="11"/>
      <c r="AH89" s="11"/>
      <c r="AK89" s="11"/>
      <c r="AL89" s="11"/>
      <c r="AM89" s="11"/>
      <c r="AP89" s="11"/>
      <c r="AQ89" s="11"/>
      <c r="AR89" s="11"/>
    </row>
    <row r="90" ht="15.75" customHeight="1">
      <c r="A90" s="9"/>
      <c r="B90" s="9"/>
      <c r="C90" s="29"/>
      <c r="D90" s="29"/>
      <c r="E90" s="29"/>
      <c r="F90" s="29"/>
      <c r="G90" s="29"/>
      <c r="H90" s="29"/>
      <c r="I90" s="29"/>
      <c r="J90" s="29"/>
      <c r="K90" s="29"/>
      <c r="L90" s="11"/>
      <c r="M90" s="11"/>
      <c r="N90" s="11"/>
      <c r="O90" s="11"/>
      <c r="P90" s="11"/>
      <c r="Q90" s="11"/>
      <c r="R90" s="11"/>
      <c r="S90" s="30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F90" s="11"/>
      <c r="AG90" s="11"/>
      <c r="AH90" s="11"/>
      <c r="AK90" s="11"/>
      <c r="AL90" s="11"/>
      <c r="AM90" s="11"/>
      <c r="AP90" s="11"/>
      <c r="AQ90" s="11"/>
      <c r="AR90" s="11"/>
    </row>
    <row r="91" ht="15.75" customHeight="1">
      <c r="A91" s="9"/>
      <c r="B91" s="9"/>
      <c r="C91" s="29"/>
      <c r="D91" s="29"/>
      <c r="E91" s="29"/>
      <c r="F91" s="29"/>
      <c r="G91" s="29"/>
      <c r="H91" s="29"/>
      <c r="I91" s="29"/>
      <c r="J91" s="29"/>
      <c r="K91" s="29"/>
      <c r="L91" s="11"/>
      <c r="M91" s="11"/>
      <c r="N91" s="11"/>
      <c r="O91" s="11"/>
      <c r="P91" s="11"/>
      <c r="Q91" s="11"/>
      <c r="R91" s="11"/>
      <c r="S91" s="30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F91" s="11"/>
      <c r="AG91" s="11"/>
      <c r="AH91" s="11"/>
      <c r="AK91" s="11"/>
      <c r="AL91" s="11"/>
      <c r="AM91" s="11"/>
      <c r="AP91" s="11"/>
      <c r="AQ91" s="11"/>
      <c r="AR91" s="11"/>
    </row>
    <row r="92" ht="15.75" customHeight="1">
      <c r="A92" s="9"/>
      <c r="B92" s="9"/>
      <c r="C92" s="29"/>
      <c r="D92" s="29"/>
      <c r="E92" s="29"/>
      <c r="F92" s="29"/>
      <c r="G92" s="29"/>
      <c r="H92" s="29"/>
      <c r="I92" s="29"/>
      <c r="J92" s="29"/>
      <c r="K92" s="29"/>
      <c r="L92" s="11"/>
      <c r="M92" s="11"/>
      <c r="N92" s="11"/>
      <c r="O92" s="11"/>
      <c r="P92" s="11"/>
      <c r="Q92" s="11"/>
      <c r="R92" s="11"/>
      <c r="S92" s="30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F92" s="11"/>
      <c r="AG92" s="11"/>
      <c r="AH92" s="11"/>
      <c r="AK92" s="11"/>
      <c r="AL92" s="11"/>
      <c r="AM92" s="11"/>
      <c r="AP92" s="11"/>
      <c r="AQ92" s="11"/>
      <c r="AR92" s="11"/>
    </row>
    <row r="93" ht="15.75" customHeight="1">
      <c r="A93" s="9"/>
      <c r="B93" s="9"/>
      <c r="C93" s="29"/>
      <c r="D93" s="29"/>
      <c r="E93" s="29"/>
      <c r="F93" s="29"/>
      <c r="G93" s="29"/>
      <c r="H93" s="29"/>
      <c r="I93" s="29"/>
      <c r="J93" s="29"/>
      <c r="K93" s="29"/>
      <c r="L93" s="11"/>
      <c r="M93" s="11"/>
      <c r="N93" s="11"/>
      <c r="O93" s="11"/>
      <c r="P93" s="11"/>
      <c r="Q93" s="11"/>
      <c r="R93" s="11"/>
      <c r="S93" s="30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F93" s="11"/>
      <c r="AG93" s="11"/>
      <c r="AH93" s="11"/>
      <c r="AK93" s="11"/>
      <c r="AL93" s="11"/>
      <c r="AM93" s="11"/>
      <c r="AP93" s="11"/>
      <c r="AQ93" s="11"/>
      <c r="AR93" s="11"/>
    </row>
    <row r="94" ht="15.75" customHeight="1">
      <c r="A94" s="9"/>
      <c r="B94" s="9"/>
      <c r="C94" s="29"/>
      <c r="D94" s="29"/>
      <c r="E94" s="29"/>
      <c r="F94" s="29"/>
      <c r="G94" s="29"/>
      <c r="H94" s="29"/>
      <c r="I94" s="29"/>
      <c r="J94" s="29"/>
      <c r="K94" s="29"/>
      <c r="L94" s="11"/>
      <c r="M94" s="11"/>
      <c r="N94" s="11"/>
      <c r="O94" s="11"/>
      <c r="P94" s="11"/>
      <c r="Q94" s="11"/>
      <c r="R94" s="11"/>
      <c r="S94" s="30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F94" s="11"/>
      <c r="AG94" s="11"/>
      <c r="AH94" s="11"/>
      <c r="AK94" s="11"/>
      <c r="AL94" s="11"/>
      <c r="AM94" s="11"/>
      <c r="AP94" s="11"/>
      <c r="AQ94" s="11"/>
      <c r="AR94" s="11"/>
    </row>
    <row r="95" ht="15.75" customHeight="1">
      <c r="A95" s="9"/>
      <c r="B95" s="9"/>
      <c r="C95" s="29"/>
      <c r="D95" s="29"/>
      <c r="E95" s="29"/>
      <c r="F95" s="29"/>
      <c r="G95" s="29"/>
      <c r="H95" s="29"/>
      <c r="I95" s="29"/>
      <c r="J95" s="29"/>
      <c r="K95" s="29"/>
      <c r="L95" s="11"/>
      <c r="M95" s="11"/>
      <c r="N95" s="11"/>
      <c r="O95" s="11"/>
      <c r="P95" s="11"/>
      <c r="Q95" s="11"/>
      <c r="R95" s="11"/>
      <c r="S95" s="30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F95" s="11"/>
      <c r="AG95" s="11"/>
      <c r="AH95" s="11"/>
      <c r="AK95" s="11"/>
      <c r="AL95" s="11"/>
      <c r="AM95" s="11"/>
      <c r="AP95" s="11"/>
      <c r="AQ95" s="11"/>
      <c r="AR95" s="11"/>
    </row>
    <row r="96" ht="15.75" customHeight="1">
      <c r="A96" s="9"/>
      <c r="B96" s="9"/>
      <c r="C96" s="29"/>
      <c r="D96" s="29"/>
      <c r="E96" s="29"/>
      <c r="F96" s="29"/>
      <c r="G96" s="29"/>
      <c r="H96" s="29"/>
      <c r="I96" s="29"/>
      <c r="J96" s="29"/>
      <c r="K96" s="29"/>
      <c r="L96" s="11"/>
      <c r="M96" s="11"/>
      <c r="N96" s="11"/>
      <c r="O96" s="11"/>
      <c r="P96" s="11"/>
      <c r="Q96" s="11"/>
      <c r="R96" s="11"/>
      <c r="S96" s="30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F96" s="11"/>
      <c r="AG96" s="11"/>
      <c r="AH96" s="11"/>
      <c r="AK96" s="11"/>
      <c r="AL96" s="11"/>
      <c r="AM96" s="11"/>
      <c r="AP96" s="11"/>
      <c r="AQ96" s="11"/>
      <c r="AR96" s="11"/>
    </row>
    <row r="97" ht="15.75" customHeight="1">
      <c r="A97" s="9"/>
      <c r="B97" s="9"/>
      <c r="C97" s="29"/>
      <c r="D97" s="29"/>
      <c r="E97" s="29"/>
      <c r="F97" s="29"/>
      <c r="G97" s="29"/>
      <c r="H97" s="29"/>
      <c r="I97" s="29"/>
      <c r="J97" s="29"/>
      <c r="K97" s="29"/>
      <c r="L97" s="11"/>
      <c r="M97" s="11"/>
      <c r="N97" s="11"/>
      <c r="O97" s="11"/>
      <c r="P97" s="11"/>
      <c r="Q97" s="11"/>
      <c r="R97" s="11"/>
      <c r="S97" s="30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F97" s="11"/>
      <c r="AG97" s="11"/>
      <c r="AH97" s="11"/>
      <c r="AK97" s="11"/>
      <c r="AL97" s="11"/>
      <c r="AM97" s="11"/>
      <c r="AP97" s="11"/>
      <c r="AQ97" s="11"/>
      <c r="AR97" s="11"/>
    </row>
    <row r="98" ht="15.75" customHeight="1">
      <c r="A98" s="9"/>
      <c r="B98" s="9"/>
      <c r="C98" s="29"/>
      <c r="D98" s="29"/>
      <c r="E98" s="29"/>
      <c r="F98" s="29"/>
      <c r="G98" s="29"/>
      <c r="H98" s="29"/>
      <c r="I98" s="29"/>
      <c r="J98" s="29"/>
      <c r="K98" s="29"/>
      <c r="L98" s="11"/>
      <c r="M98" s="11"/>
      <c r="N98" s="11"/>
      <c r="O98" s="11"/>
      <c r="P98" s="11"/>
      <c r="Q98" s="11"/>
      <c r="R98" s="11"/>
      <c r="S98" s="30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F98" s="11"/>
      <c r="AG98" s="11"/>
      <c r="AH98" s="11"/>
      <c r="AK98" s="11"/>
      <c r="AL98" s="11"/>
      <c r="AM98" s="11"/>
      <c r="AP98" s="11"/>
      <c r="AQ98" s="11"/>
      <c r="AR98" s="11"/>
    </row>
    <row r="99" ht="15.75" customHeight="1">
      <c r="A99" s="9"/>
      <c r="B99" s="9"/>
      <c r="C99" s="29"/>
      <c r="D99" s="29"/>
      <c r="E99" s="29"/>
      <c r="F99" s="29"/>
      <c r="G99" s="29"/>
      <c r="H99" s="29"/>
      <c r="I99" s="29"/>
      <c r="J99" s="29"/>
      <c r="K99" s="29"/>
      <c r="L99" s="11"/>
      <c r="M99" s="11"/>
      <c r="N99" s="11"/>
      <c r="O99" s="11"/>
      <c r="P99" s="11"/>
      <c r="Q99" s="11"/>
      <c r="R99" s="11"/>
      <c r="S99" s="30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F99" s="11"/>
      <c r="AG99" s="11"/>
      <c r="AH99" s="11"/>
      <c r="AK99" s="11"/>
      <c r="AL99" s="11"/>
      <c r="AM99" s="11"/>
      <c r="AP99" s="11"/>
      <c r="AQ99" s="11"/>
      <c r="AR99" s="11"/>
    </row>
    <row r="100" ht="15.75" customHeight="1">
      <c r="A100" s="9"/>
      <c r="B100" s="9"/>
      <c r="C100" s="29"/>
      <c r="D100" s="29"/>
      <c r="E100" s="29"/>
      <c r="F100" s="29"/>
      <c r="G100" s="29"/>
      <c r="H100" s="29"/>
      <c r="I100" s="29"/>
      <c r="J100" s="29"/>
      <c r="K100" s="29"/>
      <c r="L100" s="11"/>
      <c r="M100" s="11"/>
      <c r="N100" s="11"/>
      <c r="O100" s="11"/>
      <c r="P100" s="11"/>
      <c r="Q100" s="11"/>
      <c r="R100" s="11"/>
      <c r="S100" s="30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F100" s="11"/>
      <c r="AG100" s="11"/>
      <c r="AH100" s="11"/>
      <c r="AK100" s="11"/>
      <c r="AL100" s="11"/>
      <c r="AM100" s="11"/>
      <c r="AP100" s="11"/>
      <c r="AQ100" s="11"/>
      <c r="AR100" s="11"/>
    </row>
    <row r="101" ht="15.75" customHeight="1">
      <c r="A101" s="9"/>
      <c r="B101" s="9"/>
      <c r="C101" s="29"/>
      <c r="D101" s="29"/>
      <c r="E101" s="29"/>
      <c r="F101" s="29"/>
      <c r="G101" s="29"/>
      <c r="H101" s="29"/>
      <c r="I101" s="29"/>
      <c r="J101" s="29"/>
      <c r="K101" s="29"/>
      <c r="L101" s="11"/>
      <c r="M101" s="11"/>
      <c r="N101" s="11"/>
      <c r="O101" s="11"/>
      <c r="P101" s="11"/>
      <c r="Q101" s="11"/>
      <c r="R101" s="11"/>
      <c r="S101" s="30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F101" s="11"/>
      <c r="AG101" s="11"/>
      <c r="AH101" s="11"/>
      <c r="AK101" s="11"/>
      <c r="AL101" s="11"/>
      <c r="AM101" s="11"/>
      <c r="AP101" s="11"/>
      <c r="AQ101" s="11"/>
      <c r="AR101" s="11"/>
    </row>
    <row r="102" ht="15.75" customHeight="1">
      <c r="A102" s="9"/>
      <c r="B102" s="9"/>
      <c r="C102" s="29"/>
      <c r="D102" s="29"/>
      <c r="E102" s="29"/>
      <c r="F102" s="29"/>
      <c r="G102" s="29"/>
      <c r="H102" s="29"/>
      <c r="I102" s="29"/>
      <c r="J102" s="29"/>
      <c r="K102" s="29"/>
      <c r="L102" s="11"/>
      <c r="M102" s="11"/>
      <c r="N102" s="11"/>
      <c r="O102" s="11"/>
      <c r="P102" s="11"/>
      <c r="Q102" s="11"/>
      <c r="R102" s="11"/>
      <c r="S102" s="30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F102" s="11"/>
      <c r="AG102" s="11"/>
      <c r="AH102" s="11"/>
      <c r="AK102" s="11"/>
      <c r="AL102" s="11"/>
      <c r="AM102" s="11"/>
      <c r="AP102" s="11"/>
      <c r="AQ102" s="11"/>
      <c r="AR102" s="11"/>
    </row>
    <row r="103" ht="15.75" customHeight="1">
      <c r="A103" s="9"/>
      <c r="B103" s="9"/>
      <c r="C103" s="29"/>
      <c r="D103" s="29"/>
      <c r="E103" s="29"/>
      <c r="F103" s="29"/>
      <c r="G103" s="29"/>
      <c r="H103" s="29"/>
      <c r="I103" s="29"/>
      <c r="J103" s="29"/>
      <c r="K103" s="29"/>
      <c r="L103" s="11"/>
      <c r="M103" s="11"/>
      <c r="N103" s="11"/>
      <c r="O103" s="11"/>
      <c r="P103" s="11"/>
      <c r="Q103" s="11"/>
      <c r="R103" s="11"/>
      <c r="S103" s="30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F103" s="11"/>
      <c r="AG103" s="11"/>
      <c r="AH103" s="11"/>
      <c r="AK103" s="11"/>
      <c r="AL103" s="11"/>
      <c r="AM103" s="11"/>
      <c r="AP103" s="11"/>
      <c r="AQ103" s="11"/>
      <c r="AR103" s="11"/>
    </row>
    <row r="104" ht="15.75" customHeight="1">
      <c r="A104" s="9"/>
      <c r="B104" s="9"/>
      <c r="C104" s="29"/>
      <c r="D104" s="29"/>
      <c r="E104" s="29"/>
      <c r="F104" s="29"/>
      <c r="G104" s="29"/>
      <c r="H104" s="29"/>
      <c r="I104" s="29"/>
      <c r="J104" s="29"/>
      <c r="K104" s="29"/>
      <c r="L104" s="11"/>
      <c r="M104" s="11"/>
      <c r="N104" s="11"/>
      <c r="O104" s="11"/>
      <c r="P104" s="11"/>
      <c r="Q104" s="11"/>
      <c r="R104" s="11"/>
      <c r="S104" s="30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F104" s="11"/>
      <c r="AG104" s="11"/>
      <c r="AH104" s="11"/>
      <c r="AK104" s="11"/>
      <c r="AL104" s="11"/>
      <c r="AM104" s="11"/>
      <c r="AP104" s="11"/>
      <c r="AQ104" s="11"/>
      <c r="AR104" s="11"/>
    </row>
    <row r="105" ht="15.75" customHeight="1">
      <c r="A105" s="9"/>
      <c r="B105" s="9"/>
      <c r="C105" s="29"/>
      <c r="D105" s="29"/>
      <c r="E105" s="29"/>
      <c r="F105" s="29"/>
      <c r="G105" s="29"/>
      <c r="H105" s="29"/>
      <c r="I105" s="29"/>
      <c r="J105" s="29"/>
      <c r="K105" s="29"/>
      <c r="L105" s="11"/>
      <c r="M105" s="11"/>
      <c r="N105" s="11"/>
      <c r="O105" s="11"/>
      <c r="P105" s="11"/>
      <c r="Q105" s="11"/>
      <c r="R105" s="11"/>
      <c r="S105" s="30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F105" s="11"/>
      <c r="AG105" s="11"/>
      <c r="AH105" s="11"/>
      <c r="AK105" s="11"/>
      <c r="AL105" s="11"/>
      <c r="AM105" s="11"/>
      <c r="AP105" s="11"/>
      <c r="AQ105" s="11"/>
      <c r="AR105" s="11"/>
    </row>
    <row r="106" ht="15.75" customHeight="1">
      <c r="A106" s="9"/>
      <c r="B106" s="9"/>
      <c r="C106" s="29"/>
      <c r="D106" s="29"/>
      <c r="E106" s="29"/>
      <c r="F106" s="29"/>
      <c r="G106" s="29"/>
      <c r="H106" s="29"/>
      <c r="I106" s="29"/>
      <c r="J106" s="29"/>
      <c r="K106" s="29"/>
      <c r="L106" s="11"/>
      <c r="M106" s="11"/>
      <c r="N106" s="11"/>
      <c r="O106" s="11"/>
      <c r="P106" s="11"/>
      <c r="Q106" s="11"/>
      <c r="R106" s="11"/>
      <c r="S106" s="30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F106" s="11"/>
      <c r="AG106" s="11"/>
      <c r="AH106" s="11"/>
      <c r="AK106" s="11"/>
      <c r="AL106" s="11"/>
      <c r="AM106" s="11"/>
      <c r="AP106" s="11"/>
      <c r="AQ106" s="11"/>
      <c r="AR106" s="11"/>
    </row>
    <row r="107" ht="15.75" customHeight="1">
      <c r="A107" s="9"/>
      <c r="B107" s="9"/>
      <c r="C107" s="29"/>
      <c r="D107" s="29"/>
      <c r="E107" s="29"/>
      <c r="F107" s="29"/>
      <c r="G107" s="29"/>
      <c r="H107" s="29"/>
      <c r="I107" s="29"/>
      <c r="J107" s="29"/>
      <c r="K107" s="29"/>
      <c r="L107" s="11"/>
      <c r="M107" s="11"/>
      <c r="N107" s="11"/>
      <c r="O107" s="11"/>
      <c r="P107" s="11"/>
      <c r="Q107" s="11"/>
      <c r="R107" s="11"/>
      <c r="S107" s="30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F107" s="11"/>
      <c r="AG107" s="11"/>
      <c r="AH107" s="11"/>
      <c r="AK107" s="11"/>
      <c r="AL107" s="11"/>
      <c r="AM107" s="11"/>
      <c r="AP107" s="11"/>
      <c r="AQ107" s="11"/>
      <c r="AR107" s="11"/>
    </row>
    <row r="108" ht="15.75" customHeight="1">
      <c r="A108" s="9"/>
      <c r="B108" s="9"/>
      <c r="C108" s="29"/>
      <c r="D108" s="29"/>
      <c r="E108" s="29"/>
      <c r="F108" s="29"/>
      <c r="G108" s="29"/>
      <c r="H108" s="29"/>
      <c r="I108" s="29"/>
      <c r="J108" s="29"/>
      <c r="K108" s="29"/>
      <c r="L108" s="11"/>
      <c r="M108" s="11"/>
      <c r="N108" s="11"/>
      <c r="O108" s="11"/>
      <c r="P108" s="11"/>
      <c r="Q108" s="11"/>
      <c r="R108" s="11"/>
      <c r="S108" s="30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F108" s="11"/>
      <c r="AG108" s="11"/>
      <c r="AH108" s="11"/>
      <c r="AK108" s="11"/>
      <c r="AL108" s="11"/>
      <c r="AM108" s="11"/>
      <c r="AP108" s="11"/>
      <c r="AQ108" s="11"/>
      <c r="AR108" s="11"/>
    </row>
    <row r="109" ht="15.75" customHeight="1">
      <c r="A109" s="9"/>
      <c r="B109" s="9"/>
      <c r="C109" s="29"/>
      <c r="D109" s="29"/>
      <c r="E109" s="29"/>
      <c r="F109" s="29"/>
      <c r="G109" s="29"/>
      <c r="H109" s="29"/>
      <c r="I109" s="29"/>
      <c r="J109" s="29"/>
      <c r="K109" s="29"/>
      <c r="L109" s="11"/>
      <c r="M109" s="11"/>
      <c r="N109" s="11"/>
      <c r="O109" s="11"/>
      <c r="P109" s="11"/>
      <c r="Q109" s="11"/>
      <c r="R109" s="11"/>
      <c r="S109" s="30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F109" s="11"/>
      <c r="AG109" s="11"/>
      <c r="AH109" s="11"/>
      <c r="AK109" s="11"/>
      <c r="AL109" s="11"/>
      <c r="AM109" s="11"/>
      <c r="AP109" s="11"/>
      <c r="AQ109" s="11"/>
      <c r="AR109" s="11"/>
    </row>
    <row r="110" ht="15.75" customHeight="1">
      <c r="A110" s="9"/>
      <c r="B110" s="9"/>
      <c r="C110" s="29"/>
      <c r="D110" s="29"/>
      <c r="E110" s="29"/>
      <c r="F110" s="29"/>
      <c r="G110" s="29"/>
      <c r="H110" s="29"/>
      <c r="I110" s="29"/>
      <c r="J110" s="29"/>
      <c r="K110" s="29"/>
      <c r="L110" s="11"/>
      <c r="M110" s="11"/>
      <c r="N110" s="11"/>
      <c r="O110" s="11"/>
      <c r="P110" s="11"/>
      <c r="Q110" s="11"/>
      <c r="R110" s="11"/>
      <c r="S110" s="30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F110" s="11"/>
      <c r="AG110" s="11"/>
      <c r="AH110" s="11"/>
      <c r="AK110" s="11"/>
      <c r="AL110" s="11"/>
      <c r="AM110" s="11"/>
      <c r="AP110" s="11"/>
      <c r="AQ110" s="11"/>
      <c r="AR110" s="11"/>
    </row>
    <row r="111" ht="15.75" customHeight="1">
      <c r="A111" s="9"/>
      <c r="B111" s="9"/>
      <c r="C111" s="29"/>
      <c r="D111" s="29"/>
      <c r="E111" s="29"/>
      <c r="F111" s="29"/>
      <c r="G111" s="29"/>
      <c r="H111" s="29"/>
      <c r="I111" s="29"/>
      <c r="J111" s="29"/>
      <c r="K111" s="29"/>
      <c r="L111" s="11"/>
      <c r="M111" s="11"/>
      <c r="N111" s="11"/>
      <c r="O111" s="11"/>
      <c r="P111" s="11"/>
      <c r="Q111" s="11"/>
      <c r="R111" s="11"/>
      <c r="S111" s="30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F111" s="11"/>
      <c r="AG111" s="11"/>
      <c r="AH111" s="11"/>
      <c r="AK111" s="11"/>
      <c r="AL111" s="11"/>
      <c r="AM111" s="11"/>
      <c r="AP111" s="11"/>
      <c r="AQ111" s="11"/>
      <c r="AR111" s="11"/>
    </row>
    <row r="112" ht="15.75" customHeight="1">
      <c r="A112" s="9"/>
      <c r="B112" s="9"/>
      <c r="C112" s="29"/>
      <c r="D112" s="29"/>
      <c r="E112" s="29"/>
      <c r="F112" s="29"/>
      <c r="G112" s="29"/>
      <c r="H112" s="29"/>
      <c r="I112" s="29"/>
      <c r="J112" s="29"/>
      <c r="K112" s="29"/>
      <c r="L112" s="11"/>
      <c r="M112" s="11"/>
      <c r="N112" s="11"/>
      <c r="O112" s="11"/>
      <c r="P112" s="11"/>
      <c r="Q112" s="11"/>
      <c r="R112" s="11"/>
      <c r="S112" s="30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F112" s="11"/>
      <c r="AG112" s="11"/>
      <c r="AH112" s="11"/>
      <c r="AK112" s="11"/>
      <c r="AL112" s="11"/>
      <c r="AM112" s="11"/>
      <c r="AP112" s="11"/>
      <c r="AQ112" s="11"/>
      <c r="AR112" s="11"/>
    </row>
    <row r="113" ht="15.75" customHeight="1">
      <c r="A113" s="9"/>
      <c r="B113" s="9"/>
      <c r="C113" s="29"/>
      <c r="D113" s="29"/>
      <c r="E113" s="29"/>
      <c r="F113" s="29"/>
      <c r="G113" s="29"/>
      <c r="H113" s="29"/>
      <c r="I113" s="29"/>
      <c r="J113" s="29"/>
      <c r="K113" s="29"/>
      <c r="L113" s="11"/>
      <c r="M113" s="11"/>
      <c r="N113" s="11"/>
      <c r="O113" s="11"/>
      <c r="P113" s="11"/>
      <c r="Q113" s="11"/>
      <c r="R113" s="11"/>
      <c r="S113" s="30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F113" s="11"/>
      <c r="AG113" s="11"/>
      <c r="AH113" s="11"/>
      <c r="AK113" s="11"/>
      <c r="AL113" s="11"/>
      <c r="AM113" s="11"/>
      <c r="AP113" s="11"/>
      <c r="AQ113" s="11"/>
      <c r="AR113" s="11"/>
    </row>
    <row r="114" ht="15.75" customHeight="1">
      <c r="A114" s="9"/>
      <c r="B114" s="9"/>
      <c r="C114" s="29"/>
      <c r="D114" s="29"/>
      <c r="E114" s="29"/>
      <c r="F114" s="29"/>
      <c r="G114" s="29"/>
      <c r="H114" s="29"/>
      <c r="I114" s="29"/>
      <c r="J114" s="29"/>
      <c r="K114" s="29"/>
      <c r="L114" s="11"/>
      <c r="M114" s="11"/>
      <c r="N114" s="11"/>
      <c r="O114" s="11"/>
      <c r="P114" s="11"/>
      <c r="Q114" s="11"/>
      <c r="R114" s="11"/>
      <c r="S114" s="30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F114" s="11"/>
      <c r="AG114" s="11"/>
      <c r="AH114" s="11"/>
      <c r="AK114" s="11"/>
      <c r="AL114" s="11"/>
      <c r="AM114" s="11"/>
      <c r="AP114" s="11"/>
      <c r="AQ114" s="11"/>
      <c r="AR114" s="11"/>
    </row>
    <row r="115" ht="15.75" customHeight="1">
      <c r="A115" s="9"/>
      <c r="B115" s="9"/>
      <c r="C115" s="29"/>
      <c r="D115" s="29"/>
      <c r="E115" s="29"/>
      <c r="F115" s="29"/>
      <c r="G115" s="29"/>
      <c r="H115" s="29"/>
      <c r="I115" s="29"/>
      <c r="J115" s="29"/>
      <c r="K115" s="29"/>
      <c r="L115" s="11"/>
      <c r="M115" s="11"/>
      <c r="N115" s="11"/>
      <c r="O115" s="11"/>
      <c r="P115" s="11"/>
      <c r="Q115" s="11"/>
      <c r="R115" s="11"/>
      <c r="S115" s="30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F115" s="11"/>
      <c r="AG115" s="11"/>
      <c r="AH115" s="11"/>
      <c r="AK115" s="11"/>
      <c r="AL115" s="11"/>
      <c r="AM115" s="11"/>
      <c r="AP115" s="11"/>
      <c r="AQ115" s="11"/>
      <c r="AR115" s="11"/>
    </row>
    <row r="116" ht="15.75" customHeight="1">
      <c r="A116" s="9"/>
      <c r="B116" s="9"/>
      <c r="C116" s="29"/>
      <c r="D116" s="29"/>
      <c r="E116" s="29"/>
      <c r="F116" s="29"/>
      <c r="G116" s="29"/>
      <c r="H116" s="29"/>
      <c r="I116" s="29"/>
      <c r="J116" s="29"/>
      <c r="K116" s="29"/>
      <c r="L116" s="11"/>
      <c r="M116" s="11"/>
      <c r="N116" s="11"/>
      <c r="O116" s="11"/>
      <c r="P116" s="11"/>
      <c r="Q116" s="11"/>
      <c r="R116" s="11"/>
      <c r="S116" s="30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F116" s="11"/>
      <c r="AG116" s="11"/>
      <c r="AH116" s="11"/>
      <c r="AK116" s="11"/>
      <c r="AL116" s="11"/>
      <c r="AM116" s="11"/>
      <c r="AP116" s="11"/>
      <c r="AQ116" s="11"/>
      <c r="AR116" s="11"/>
    </row>
    <row r="117" ht="15.75" customHeight="1">
      <c r="A117" s="9"/>
      <c r="B117" s="9"/>
      <c r="C117" s="29"/>
      <c r="D117" s="29"/>
      <c r="E117" s="29"/>
      <c r="F117" s="29"/>
      <c r="G117" s="29"/>
      <c r="H117" s="29"/>
      <c r="I117" s="29"/>
      <c r="J117" s="29"/>
      <c r="K117" s="29"/>
      <c r="L117" s="11"/>
      <c r="M117" s="11"/>
      <c r="N117" s="11"/>
      <c r="O117" s="11"/>
      <c r="P117" s="11"/>
      <c r="Q117" s="11"/>
      <c r="R117" s="11"/>
      <c r="S117" s="30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F117" s="11"/>
      <c r="AG117" s="11"/>
      <c r="AH117" s="11"/>
      <c r="AK117" s="11"/>
      <c r="AL117" s="11"/>
      <c r="AM117" s="11"/>
      <c r="AP117" s="11"/>
      <c r="AQ117" s="11"/>
      <c r="AR117" s="11"/>
    </row>
    <row r="118" ht="15.75" customHeight="1">
      <c r="A118" s="9"/>
      <c r="B118" s="9"/>
      <c r="C118" s="29"/>
      <c r="D118" s="29"/>
      <c r="E118" s="29"/>
      <c r="F118" s="29"/>
      <c r="G118" s="29"/>
      <c r="H118" s="29"/>
      <c r="I118" s="29"/>
      <c r="J118" s="29"/>
      <c r="K118" s="29"/>
      <c r="L118" s="11"/>
      <c r="M118" s="11"/>
      <c r="N118" s="11"/>
      <c r="O118" s="11"/>
      <c r="P118" s="11"/>
      <c r="Q118" s="11"/>
      <c r="R118" s="11"/>
      <c r="S118" s="30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F118" s="11"/>
      <c r="AG118" s="11"/>
      <c r="AH118" s="11"/>
      <c r="AK118" s="11"/>
      <c r="AL118" s="11"/>
      <c r="AM118" s="11"/>
      <c r="AP118" s="11"/>
      <c r="AQ118" s="11"/>
      <c r="AR118" s="11"/>
    </row>
    <row r="119" ht="15.75" customHeight="1">
      <c r="A119" s="9"/>
      <c r="B119" s="9"/>
      <c r="C119" s="29"/>
      <c r="D119" s="29"/>
      <c r="E119" s="29"/>
      <c r="F119" s="29"/>
      <c r="G119" s="29"/>
      <c r="H119" s="29"/>
      <c r="I119" s="29"/>
      <c r="J119" s="29"/>
      <c r="K119" s="29"/>
      <c r="L119" s="11"/>
      <c r="M119" s="11"/>
      <c r="N119" s="11"/>
      <c r="O119" s="11"/>
      <c r="P119" s="11"/>
      <c r="Q119" s="11"/>
      <c r="R119" s="11"/>
      <c r="S119" s="30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F119" s="11"/>
      <c r="AG119" s="11"/>
      <c r="AH119" s="11"/>
      <c r="AK119" s="11"/>
      <c r="AL119" s="11"/>
      <c r="AM119" s="11"/>
      <c r="AP119" s="11"/>
      <c r="AQ119" s="11"/>
      <c r="AR119" s="11"/>
    </row>
    <row r="120" ht="15.75" customHeight="1">
      <c r="A120" s="9"/>
      <c r="B120" s="9"/>
      <c r="C120" s="29"/>
      <c r="D120" s="29"/>
      <c r="E120" s="29"/>
      <c r="F120" s="29"/>
      <c r="G120" s="29"/>
      <c r="H120" s="29"/>
      <c r="I120" s="29"/>
      <c r="J120" s="29"/>
      <c r="K120" s="29"/>
      <c r="L120" s="11"/>
      <c r="M120" s="11"/>
      <c r="N120" s="11"/>
      <c r="O120" s="11"/>
      <c r="P120" s="11"/>
      <c r="Q120" s="11"/>
      <c r="R120" s="11"/>
      <c r="S120" s="30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F120" s="11"/>
      <c r="AG120" s="11"/>
      <c r="AH120" s="11"/>
      <c r="AK120" s="11"/>
      <c r="AL120" s="11"/>
      <c r="AM120" s="11"/>
      <c r="AP120" s="11"/>
      <c r="AQ120" s="11"/>
      <c r="AR120" s="11"/>
    </row>
    <row r="121" ht="15.75" customHeight="1">
      <c r="A121" s="9"/>
      <c r="B121" s="9"/>
      <c r="C121" s="29"/>
      <c r="D121" s="29"/>
      <c r="E121" s="29"/>
      <c r="F121" s="29"/>
      <c r="G121" s="29"/>
      <c r="H121" s="29"/>
      <c r="I121" s="29"/>
      <c r="J121" s="29"/>
      <c r="K121" s="29"/>
      <c r="L121" s="11"/>
      <c r="M121" s="11"/>
      <c r="N121" s="11"/>
      <c r="O121" s="11"/>
      <c r="P121" s="11"/>
      <c r="Q121" s="11"/>
      <c r="R121" s="11"/>
      <c r="S121" s="30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F121" s="11"/>
      <c r="AG121" s="11"/>
      <c r="AH121" s="11"/>
      <c r="AK121" s="11"/>
      <c r="AL121" s="11"/>
      <c r="AM121" s="11"/>
      <c r="AP121" s="11"/>
      <c r="AQ121" s="11"/>
      <c r="AR121" s="11"/>
    </row>
    <row r="122" ht="15.75" customHeight="1">
      <c r="A122" s="9"/>
      <c r="B122" s="9"/>
      <c r="C122" s="29"/>
      <c r="D122" s="29"/>
      <c r="E122" s="29"/>
      <c r="F122" s="29"/>
      <c r="G122" s="29"/>
      <c r="H122" s="29"/>
      <c r="I122" s="29"/>
      <c r="J122" s="29"/>
      <c r="K122" s="29"/>
      <c r="L122" s="11"/>
      <c r="M122" s="11"/>
      <c r="N122" s="11"/>
      <c r="O122" s="11"/>
      <c r="P122" s="11"/>
      <c r="Q122" s="11"/>
      <c r="R122" s="11"/>
      <c r="S122" s="30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F122" s="11"/>
      <c r="AG122" s="11"/>
      <c r="AH122" s="11"/>
      <c r="AK122" s="11"/>
      <c r="AL122" s="11"/>
      <c r="AM122" s="11"/>
      <c r="AP122" s="11"/>
      <c r="AQ122" s="11"/>
      <c r="AR122" s="11"/>
    </row>
    <row r="123" ht="15.75" customHeight="1">
      <c r="A123" s="9"/>
      <c r="B123" s="9"/>
      <c r="C123" s="29"/>
      <c r="D123" s="29"/>
      <c r="E123" s="29"/>
      <c r="F123" s="29"/>
      <c r="G123" s="29"/>
      <c r="H123" s="29"/>
      <c r="I123" s="29"/>
      <c r="J123" s="29"/>
      <c r="K123" s="29"/>
      <c r="L123" s="11"/>
      <c r="M123" s="11"/>
      <c r="N123" s="11"/>
      <c r="O123" s="11"/>
      <c r="P123" s="11"/>
      <c r="Q123" s="11"/>
      <c r="R123" s="11"/>
      <c r="S123" s="30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F123" s="11"/>
      <c r="AG123" s="11"/>
      <c r="AH123" s="11"/>
      <c r="AK123" s="11"/>
      <c r="AL123" s="11"/>
      <c r="AM123" s="11"/>
      <c r="AP123" s="11"/>
      <c r="AQ123" s="11"/>
      <c r="AR123" s="11"/>
    </row>
    <row r="124" ht="15.75" customHeight="1">
      <c r="A124" s="9"/>
      <c r="B124" s="9"/>
      <c r="C124" s="29"/>
      <c r="D124" s="29"/>
      <c r="E124" s="29"/>
      <c r="F124" s="29"/>
      <c r="G124" s="29"/>
      <c r="H124" s="29"/>
      <c r="I124" s="29"/>
      <c r="J124" s="29"/>
      <c r="K124" s="29"/>
      <c r="L124" s="11"/>
      <c r="M124" s="11"/>
      <c r="N124" s="11"/>
      <c r="O124" s="11"/>
      <c r="P124" s="11"/>
      <c r="Q124" s="11"/>
      <c r="R124" s="11"/>
      <c r="S124" s="30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F124" s="11"/>
      <c r="AG124" s="11"/>
      <c r="AH124" s="11"/>
      <c r="AK124" s="11"/>
      <c r="AL124" s="11"/>
      <c r="AM124" s="11"/>
      <c r="AP124" s="11"/>
      <c r="AQ124" s="11"/>
      <c r="AR124" s="11"/>
    </row>
    <row r="125" ht="15.75" customHeight="1">
      <c r="A125" s="9"/>
      <c r="B125" s="9"/>
      <c r="C125" s="29"/>
      <c r="D125" s="29"/>
      <c r="E125" s="29"/>
      <c r="F125" s="29"/>
      <c r="G125" s="29"/>
      <c r="H125" s="29"/>
      <c r="I125" s="29"/>
      <c r="J125" s="29"/>
      <c r="K125" s="29"/>
      <c r="L125" s="11"/>
      <c r="M125" s="11"/>
      <c r="N125" s="11"/>
      <c r="O125" s="11"/>
      <c r="P125" s="11"/>
      <c r="Q125" s="11"/>
      <c r="R125" s="11"/>
      <c r="S125" s="30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F125" s="11"/>
      <c r="AG125" s="11"/>
      <c r="AH125" s="11"/>
      <c r="AK125" s="11"/>
      <c r="AL125" s="11"/>
      <c r="AM125" s="11"/>
      <c r="AP125" s="11"/>
      <c r="AQ125" s="11"/>
      <c r="AR125" s="11"/>
    </row>
    <row r="126" ht="15.75" customHeight="1">
      <c r="A126" s="9"/>
      <c r="B126" s="9"/>
      <c r="C126" s="29"/>
      <c r="D126" s="29"/>
      <c r="E126" s="29"/>
      <c r="F126" s="29"/>
      <c r="G126" s="29"/>
      <c r="H126" s="29"/>
      <c r="I126" s="29"/>
      <c r="J126" s="29"/>
      <c r="K126" s="29"/>
      <c r="L126" s="11"/>
      <c r="M126" s="11"/>
      <c r="N126" s="11"/>
      <c r="O126" s="11"/>
      <c r="P126" s="11"/>
      <c r="Q126" s="11"/>
      <c r="R126" s="11"/>
      <c r="S126" s="30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F126" s="11"/>
      <c r="AG126" s="11"/>
      <c r="AH126" s="11"/>
      <c r="AK126" s="11"/>
      <c r="AL126" s="11"/>
      <c r="AM126" s="11"/>
      <c r="AP126" s="11"/>
      <c r="AQ126" s="11"/>
      <c r="AR126" s="11"/>
    </row>
    <row r="127" ht="15.75" customHeight="1">
      <c r="A127" s="9"/>
      <c r="B127" s="9"/>
      <c r="C127" s="29"/>
      <c r="D127" s="29"/>
      <c r="E127" s="29"/>
      <c r="F127" s="29"/>
      <c r="G127" s="29"/>
      <c r="H127" s="29"/>
      <c r="I127" s="29"/>
      <c r="J127" s="29"/>
      <c r="K127" s="29"/>
      <c r="L127" s="11"/>
      <c r="M127" s="11"/>
      <c r="N127" s="11"/>
      <c r="O127" s="11"/>
      <c r="P127" s="11"/>
      <c r="Q127" s="11"/>
      <c r="R127" s="11"/>
      <c r="S127" s="30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F127" s="11"/>
      <c r="AG127" s="11"/>
      <c r="AH127" s="11"/>
      <c r="AK127" s="11"/>
      <c r="AL127" s="11"/>
      <c r="AM127" s="11"/>
      <c r="AP127" s="11"/>
      <c r="AQ127" s="11"/>
      <c r="AR127" s="11"/>
    </row>
    <row r="128" ht="15.75" customHeight="1">
      <c r="A128" s="9"/>
      <c r="B128" s="9"/>
      <c r="C128" s="29"/>
      <c r="D128" s="29"/>
      <c r="E128" s="29"/>
      <c r="F128" s="29"/>
      <c r="G128" s="29"/>
      <c r="H128" s="29"/>
      <c r="I128" s="29"/>
      <c r="J128" s="29"/>
      <c r="K128" s="29"/>
      <c r="L128" s="11"/>
      <c r="M128" s="11"/>
      <c r="N128" s="11"/>
      <c r="O128" s="11"/>
      <c r="P128" s="11"/>
      <c r="Q128" s="11"/>
      <c r="R128" s="11"/>
      <c r="S128" s="30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F128" s="11"/>
      <c r="AG128" s="11"/>
      <c r="AH128" s="11"/>
      <c r="AK128" s="11"/>
      <c r="AL128" s="11"/>
      <c r="AM128" s="11"/>
      <c r="AP128" s="11"/>
      <c r="AQ128" s="11"/>
      <c r="AR128" s="11"/>
    </row>
    <row r="129" ht="15.75" customHeight="1">
      <c r="A129" s="9"/>
      <c r="B129" s="9"/>
      <c r="C129" s="29"/>
      <c r="D129" s="29"/>
      <c r="E129" s="29"/>
      <c r="F129" s="29"/>
      <c r="G129" s="29"/>
      <c r="H129" s="29"/>
      <c r="I129" s="29"/>
      <c r="J129" s="29"/>
      <c r="K129" s="29"/>
      <c r="L129" s="11"/>
      <c r="M129" s="11"/>
      <c r="N129" s="11"/>
      <c r="O129" s="11"/>
      <c r="P129" s="11"/>
      <c r="Q129" s="11"/>
      <c r="R129" s="11"/>
      <c r="S129" s="30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F129" s="11"/>
      <c r="AG129" s="11"/>
      <c r="AH129" s="11"/>
      <c r="AK129" s="11"/>
      <c r="AL129" s="11"/>
      <c r="AM129" s="11"/>
      <c r="AP129" s="11"/>
      <c r="AQ129" s="11"/>
      <c r="AR129" s="11"/>
    </row>
    <row r="130" ht="15.75" customHeight="1">
      <c r="A130" s="9"/>
      <c r="B130" s="9"/>
      <c r="C130" s="29"/>
      <c r="D130" s="29"/>
      <c r="E130" s="29"/>
      <c r="F130" s="29"/>
      <c r="G130" s="29"/>
      <c r="H130" s="29"/>
      <c r="I130" s="29"/>
      <c r="J130" s="29"/>
      <c r="K130" s="29"/>
      <c r="L130" s="11"/>
      <c r="M130" s="11"/>
      <c r="N130" s="11"/>
      <c r="O130" s="11"/>
      <c r="P130" s="11"/>
      <c r="Q130" s="11"/>
      <c r="R130" s="11"/>
      <c r="S130" s="30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F130" s="11"/>
      <c r="AG130" s="11"/>
      <c r="AH130" s="11"/>
      <c r="AK130" s="11"/>
      <c r="AL130" s="11"/>
      <c r="AM130" s="11"/>
      <c r="AP130" s="11"/>
      <c r="AQ130" s="11"/>
      <c r="AR130" s="11"/>
    </row>
    <row r="131" ht="15.75" customHeight="1">
      <c r="A131" s="9"/>
      <c r="B131" s="9"/>
      <c r="C131" s="29"/>
      <c r="D131" s="29"/>
      <c r="E131" s="29"/>
      <c r="F131" s="29"/>
      <c r="G131" s="29"/>
      <c r="H131" s="29"/>
      <c r="I131" s="29"/>
      <c r="J131" s="29"/>
      <c r="K131" s="29"/>
      <c r="L131" s="11"/>
      <c r="M131" s="11"/>
      <c r="N131" s="11"/>
      <c r="O131" s="11"/>
      <c r="P131" s="11"/>
      <c r="Q131" s="11"/>
      <c r="R131" s="11"/>
      <c r="S131" s="30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F131" s="11"/>
      <c r="AG131" s="11"/>
      <c r="AH131" s="11"/>
      <c r="AK131" s="11"/>
      <c r="AL131" s="11"/>
      <c r="AM131" s="11"/>
      <c r="AP131" s="11"/>
      <c r="AQ131" s="11"/>
      <c r="AR131" s="11"/>
    </row>
    <row r="132" ht="15.75" customHeight="1">
      <c r="A132" s="9"/>
      <c r="B132" s="9"/>
      <c r="C132" s="29"/>
      <c r="D132" s="29"/>
      <c r="E132" s="29"/>
      <c r="F132" s="29"/>
      <c r="G132" s="29"/>
      <c r="H132" s="29"/>
      <c r="I132" s="29"/>
      <c r="J132" s="29"/>
      <c r="K132" s="29"/>
      <c r="L132" s="11"/>
      <c r="M132" s="11"/>
      <c r="N132" s="11"/>
      <c r="O132" s="11"/>
      <c r="P132" s="11"/>
      <c r="Q132" s="11"/>
      <c r="R132" s="11"/>
      <c r="S132" s="30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F132" s="11"/>
      <c r="AG132" s="11"/>
      <c r="AH132" s="11"/>
      <c r="AK132" s="11"/>
      <c r="AL132" s="11"/>
      <c r="AM132" s="11"/>
      <c r="AP132" s="11"/>
      <c r="AQ132" s="11"/>
      <c r="AR132" s="11"/>
    </row>
    <row r="133" ht="15.75" customHeight="1">
      <c r="A133" s="9"/>
      <c r="B133" s="9"/>
      <c r="C133" s="29"/>
      <c r="D133" s="29"/>
      <c r="E133" s="29"/>
      <c r="F133" s="29"/>
      <c r="G133" s="29"/>
      <c r="H133" s="29"/>
      <c r="I133" s="29"/>
      <c r="J133" s="29"/>
      <c r="K133" s="29"/>
      <c r="L133" s="11"/>
      <c r="M133" s="11"/>
      <c r="N133" s="11"/>
      <c r="O133" s="11"/>
      <c r="P133" s="11"/>
      <c r="Q133" s="11"/>
      <c r="R133" s="11"/>
      <c r="S133" s="30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F133" s="11"/>
      <c r="AG133" s="11"/>
      <c r="AH133" s="11"/>
      <c r="AK133" s="11"/>
      <c r="AL133" s="11"/>
      <c r="AM133" s="11"/>
      <c r="AP133" s="11"/>
      <c r="AQ133" s="11"/>
      <c r="AR133" s="11"/>
    </row>
    <row r="134" ht="15.75" customHeight="1">
      <c r="A134" s="9"/>
      <c r="B134" s="9"/>
      <c r="C134" s="29"/>
      <c r="D134" s="29"/>
      <c r="E134" s="29"/>
      <c r="F134" s="29"/>
      <c r="G134" s="29"/>
      <c r="H134" s="29"/>
      <c r="I134" s="29"/>
      <c r="J134" s="29"/>
      <c r="K134" s="29"/>
      <c r="L134" s="11"/>
      <c r="M134" s="11"/>
      <c r="N134" s="11"/>
      <c r="O134" s="11"/>
      <c r="P134" s="11"/>
      <c r="Q134" s="11"/>
      <c r="R134" s="11"/>
      <c r="S134" s="30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F134" s="11"/>
      <c r="AG134" s="11"/>
      <c r="AH134" s="11"/>
      <c r="AK134" s="11"/>
      <c r="AL134" s="11"/>
      <c r="AM134" s="11"/>
      <c r="AP134" s="11"/>
      <c r="AQ134" s="11"/>
      <c r="AR134" s="11"/>
    </row>
    <row r="135" ht="15.75" customHeight="1">
      <c r="A135" s="9"/>
      <c r="B135" s="9"/>
      <c r="C135" s="29"/>
      <c r="D135" s="29"/>
      <c r="E135" s="29"/>
      <c r="F135" s="29"/>
      <c r="G135" s="29"/>
      <c r="H135" s="29"/>
      <c r="I135" s="29"/>
      <c r="J135" s="29"/>
      <c r="K135" s="29"/>
      <c r="L135" s="11"/>
      <c r="M135" s="11"/>
      <c r="N135" s="11"/>
      <c r="O135" s="11"/>
      <c r="P135" s="11"/>
      <c r="Q135" s="11"/>
      <c r="R135" s="11"/>
      <c r="S135" s="30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F135" s="11"/>
      <c r="AG135" s="11"/>
      <c r="AH135" s="11"/>
      <c r="AK135" s="11"/>
      <c r="AL135" s="11"/>
      <c r="AM135" s="11"/>
      <c r="AP135" s="11"/>
      <c r="AQ135" s="11"/>
      <c r="AR135" s="11"/>
    </row>
    <row r="136" ht="15.75" customHeight="1">
      <c r="A136" s="9"/>
      <c r="B136" s="9"/>
      <c r="C136" s="29"/>
      <c r="D136" s="29"/>
      <c r="E136" s="29"/>
      <c r="F136" s="29"/>
      <c r="G136" s="29"/>
      <c r="H136" s="29"/>
      <c r="I136" s="29"/>
      <c r="J136" s="29"/>
      <c r="K136" s="29"/>
      <c r="L136" s="11"/>
      <c r="M136" s="11"/>
      <c r="N136" s="11"/>
      <c r="O136" s="11"/>
      <c r="P136" s="11"/>
      <c r="Q136" s="11"/>
      <c r="R136" s="11"/>
      <c r="S136" s="30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F136" s="11"/>
      <c r="AG136" s="11"/>
      <c r="AH136" s="11"/>
      <c r="AK136" s="11"/>
      <c r="AL136" s="11"/>
      <c r="AM136" s="11"/>
      <c r="AP136" s="11"/>
      <c r="AQ136" s="11"/>
      <c r="AR136" s="11"/>
    </row>
    <row r="137" ht="15.75" customHeight="1">
      <c r="A137" s="9"/>
      <c r="B137" s="9"/>
      <c r="C137" s="29"/>
      <c r="D137" s="29"/>
      <c r="E137" s="29"/>
      <c r="F137" s="29"/>
      <c r="G137" s="29"/>
      <c r="H137" s="29"/>
      <c r="I137" s="29"/>
      <c r="J137" s="29"/>
      <c r="K137" s="29"/>
      <c r="L137" s="11"/>
      <c r="M137" s="11"/>
      <c r="N137" s="11"/>
      <c r="O137" s="11"/>
      <c r="P137" s="11"/>
      <c r="Q137" s="11"/>
      <c r="R137" s="11"/>
      <c r="S137" s="30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F137" s="11"/>
      <c r="AG137" s="11"/>
      <c r="AH137" s="11"/>
      <c r="AK137" s="11"/>
      <c r="AL137" s="11"/>
      <c r="AM137" s="11"/>
      <c r="AP137" s="11"/>
      <c r="AQ137" s="11"/>
      <c r="AR137" s="11"/>
    </row>
    <row r="138" ht="15.75" customHeight="1">
      <c r="A138" s="9"/>
      <c r="B138" s="9"/>
      <c r="C138" s="29"/>
      <c r="D138" s="29"/>
      <c r="E138" s="29"/>
      <c r="F138" s="29"/>
      <c r="G138" s="29"/>
      <c r="H138" s="29"/>
      <c r="I138" s="29"/>
      <c r="J138" s="29"/>
      <c r="K138" s="29"/>
      <c r="L138" s="11"/>
      <c r="M138" s="11"/>
      <c r="N138" s="11"/>
      <c r="O138" s="11"/>
      <c r="P138" s="11"/>
      <c r="Q138" s="11"/>
      <c r="R138" s="11"/>
      <c r="S138" s="30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F138" s="11"/>
      <c r="AG138" s="11"/>
      <c r="AH138" s="11"/>
      <c r="AK138" s="11"/>
      <c r="AL138" s="11"/>
      <c r="AM138" s="11"/>
      <c r="AP138" s="11"/>
      <c r="AQ138" s="11"/>
      <c r="AR138" s="11"/>
    </row>
    <row r="139" ht="15.75" customHeight="1">
      <c r="A139" s="9"/>
      <c r="B139" s="9"/>
      <c r="C139" s="29"/>
      <c r="D139" s="29"/>
      <c r="E139" s="29"/>
      <c r="F139" s="29"/>
      <c r="G139" s="29"/>
      <c r="H139" s="29"/>
      <c r="I139" s="29"/>
      <c r="J139" s="29"/>
      <c r="K139" s="29"/>
      <c r="L139" s="11"/>
      <c r="M139" s="11"/>
      <c r="N139" s="11"/>
      <c r="O139" s="11"/>
      <c r="P139" s="11"/>
      <c r="Q139" s="11"/>
      <c r="R139" s="11"/>
      <c r="S139" s="30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F139" s="11"/>
      <c r="AG139" s="11"/>
      <c r="AH139" s="11"/>
      <c r="AK139" s="11"/>
      <c r="AL139" s="11"/>
      <c r="AM139" s="11"/>
      <c r="AP139" s="11"/>
      <c r="AQ139" s="11"/>
      <c r="AR139" s="11"/>
    </row>
    <row r="140" ht="15.75" customHeight="1">
      <c r="A140" s="9"/>
      <c r="B140" s="9"/>
      <c r="C140" s="29"/>
      <c r="D140" s="29"/>
      <c r="E140" s="29"/>
      <c r="F140" s="29"/>
      <c r="G140" s="29"/>
      <c r="H140" s="29"/>
      <c r="I140" s="29"/>
      <c r="J140" s="29"/>
      <c r="K140" s="29"/>
      <c r="L140" s="11"/>
      <c r="M140" s="11"/>
      <c r="N140" s="11"/>
      <c r="O140" s="11"/>
      <c r="P140" s="11"/>
      <c r="Q140" s="11"/>
      <c r="R140" s="11"/>
      <c r="S140" s="30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F140" s="11"/>
      <c r="AG140" s="11"/>
      <c r="AH140" s="11"/>
      <c r="AK140" s="11"/>
      <c r="AL140" s="11"/>
      <c r="AM140" s="11"/>
      <c r="AP140" s="11"/>
      <c r="AQ140" s="11"/>
      <c r="AR140" s="11"/>
    </row>
    <row r="141" ht="15.75" customHeight="1">
      <c r="A141" s="9"/>
      <c r="B141" s="9"/>
      <c r="C141" s="29"/>
      <c r="D141" s="29"/>
      <c r="E141" s="29"/>
      <c r="F141" s="29"/>
      <c r="G141" s="29"/>
      <c r="H141" s="29"/>
      <c r="I141" s="29"/>
      <c r="J141" s="29"/>
      <c r="K141" s="29"/>
      <c r="L141" s="11"/>
      <c r="M141" s="11"/>
      <c r="N141" s="11"/>
      <c r="O141" s="11"/>
      <c r="P141" s="11"/>
      <c r="Q141" s="11"/>
      <c r="R141" s="11"/>
      <c r="S141" s="30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F141" s="11"/>
      <c r="AG141" s="11"/>
      <c r="AH141" s="11"/>
      <c r="AK141" s="11"/>
      <c r="AL141" s="11"/>
      <c r="AM141" s="11"/>
      <c r="AP141" s="11"/>
      <c r="AQ141" s="11"/>
      <c r="AR141" s="11"/>
    </row>
    <row r="142" ht="15.75" customHeight="1">
      <c r="A142" s="9"/>
      <c r="B142" s="9"/>
      <c r="C142" s="29"/>
      <c r="D142" s="29"/>
      <c r="E142" s="29"/>
      <c r="F142" s="29"/>
      <c r="G142" s="29"/>
      <c r="H142" s="29"/>
      <c r="I142" s="29"/>
      <c r="J142" s="29"/>
      <c r="K142" s="29"/>
      <c r="L142" s="11"/>
      <c r="M142" s="11"/>
      <c r="N142" s="11"/>
      <c r="O142" s="11"/>
      <c r="P142" s="11"/>
      <c r="Q142" s="11"/>
      <c r="R142" s="11"/>
      <c r="S142" s="30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F142" s="11"/>
      <c r="AG142" s="11"/>
      <c r="AH142" s="11"/>
      <c r="AK142" s="11"/>
      <c r="AL142" s="11"/>
      <c r="AM142" s="11"/>
      <c r="AP142" s="11"/>
      <c r="AQ142" s="11"/>
      <c r="AR142" s="11"/>
    </row>
    <row r="143" ht="15.75" customHeight="1">
      <c r="A143" s="9"/>
      <c r="B143" s="9"/>
      <c r="C143" s="29"/>
      <c r="D143" s="29"/>
      <c r="E143" s="29"/>
      <c r="F143" s="29"/>
      <c r="G143" s="29"/>
      <c r="H143" s="29"/>
      <c r="I143" s="29"/>
      <c r="J143" s="29"/>
      <c r="K143" s="29"/>
      <c r="L143" s="11"/>
      <c r="M143" s="11"/>
      <c r="N143" s="11"/>
      <c r="O143" s="11"/>
      <c r="P143" s="11"/>
      <c r="Q143" s="11"/>
      <c r="R143" s="11"/>
      <c r="S143" s="30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F143" s="11"/>
      <c r="AG143" s="11"/>
      <c r="AH143" s="11"/>
      <c r="AK143" s="11"/>
      <c r="AL143" s="11"/>
      <c r="AM143" s="11"/>
      <c r="AP143" s="11"/>
      <c r="AQ143" s="11"/>
      <c r="AR143" s="11"/>
    </row>
    <row r="144" ht="15.75" customHeight="1">
      <c r="A144" s="9"/>
      <c r="B144" s="9"/>
      <c r="C144" s="29"/>
      <c r="D144" s="29"/>
      <c r="E144" s="29"/>
      <c r="F144" s="29"/>
      <c r="G144" s="29"/>
      <c r="H144" s="29"/>
      <c r="I144" s="29"/>
      <c r="J144" s="29"/>
      <c r="K144" s="29"/>
      <c r="L144" s="11"/>
      <c r="M144" s="11"/>
      <c r="N144" s="11"/>
      <c r="O144" s="11"/>
      <c r="P144" s="11"/>
      <c r="Q144" s="11"/>
      <c r="R144" s="11"/>
      <c r="S144" s="30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F144" s="11"/>
      <c r="AG144" s="11"/>
      <c r="AH144" s="11"/>
      <c r="AK144" s="11"/>
      <c r="AL144" s="11"/>
      <c r="AM144" s="11"/>
      <c r="AP144" s="11"/>
      <c r="AQ144" s="11"/>
      <c r="AR144" s="11"/>
    </row>
    <row r="145" ht="15.75" customHeight="1">
      <c r="A145" s="9"/>
      <c r="B145" s="9"/>
      <c r="C145" s="29"/>
      <c r="D145" s="29"/>
      <c r="E145" s="29"/>
      <c r="F145" s="29"/>
      <c r="G145" s="29"/>
      <c r="H145" s="29"/>
      <c r="I145" s="29"/>
      <c r="J145" s="29"/>
      <c r="K145" s="29"/>
      <c r="L145" s="11"/>
      <c r="M145" s="11"/>
      <c r="N145" s="11"/>
      <c r="O145" s="11"/>
      <c r="P145" s="11"/>
      <c r="Q145" s="11"/>
      <c r="R145" s="11"/>
      <c r="S145" s="30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F145" s="11"/>
      <c r="AG145" s="11"/>
      <c r="AH145" s="11"/>
      <c r="AK145" s="11"/>
      <c r="AL145" s="11"/>
      <c r="AM145" s="11"/>
      <c r="AP145" s="11"/>
      <c r="AQ145" s="11"/>
      <c r="AR145" s="11"/>
    </row>
    <row r="146" ht="15.75" customHeight="1">
      <c r="A146" s="9"/>
      <c r="B146" s="9"/>
      <c r="C146" s="29"/>
      <c r="D146" s="29"/>
      <c r="E146" s="29"/>
      <c r="F146" s="29"/>
      <c r="G146" s="29"/>
      <c r="H146" s="29"/>
      <c r="I146" s="29"/>
      <c r="J146" s="29"/>
      <c r="K146" s="29"/>
      <c r="L146" s="11"/>
      <c r="M146" s="11"/>
      <c r="N146" s="11"/>
      <c r="O146" s="11"/>
      <c r="P146" s="11"/>
      <c r="Q146" s="11"/>
      <c r="R146" s="11"/>
      <c r="S146" s="30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F146" s="11"/>
      <c r="AG146" s="11"/>
      <c r="AH146" s="11"/>
      <c r="AK146" s="11"/>
      <c r="AL146" s="11"/>
      <c r="AM146" s="11"/>
      <c r="AP146" s="11"/>
      <c r="AQ146" s="11"/>
      <c r="AR146" s="11"/>
    </row>
    <row r="147" ht="15.75" customHeight="1">
      <c r="A147" s="9"/>
      <c r="B147" s="9"/>
      <c r="C147" s="29"/>
      <c r="D147" s="29"/>
      <c r="E147" s="29"/>
      <c r="F147" s="29"/>
      <c r="G147" s="29"/>
      <c r="H147" s="29"/>
      <c r="I147" s="29"/>
      <c r="J147" s="29"/>
      <c r="K147" s="29"/>
      <c r="L147" s="11"/>
      <c r="M147" s="11"/>
      <c r="N147" s="11"/>
      <c r="O147" s="11"/>
      <c r="P147" s="11"/>
      <c r="Q147" s="11"/>
      <c r="R147" s="11"/>
      <c r="S147" s="30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F147" s="11"/>
      <c r="AG147" s="11"/>
      <c r="AH147" s="11"/>
      <c r="AK147" s="11"/>
      <c r="AL147" s="11"/>
      <c r="AM147" s="11"/>
      <c r="AP147" s="11"/>
      <c r="AQ147" s="11"/>
      <c r="AR147" s="11"/>
    </row>
    <row r="148" ht="15.75" customHeight="1">
      <c r="A148" s="9"/>
      <c r="B148" s="9"/>
      <c r="C148" s="29"/>
      <c r="D148" s="29"/>
      <c r="E148" s="29"/>
      <c r="F148" s="29"/>
      <c r="G148" s="29"/>
      <c r="H148" s="29"/>
      <c r="I148" s="29"/>
      <c r="J148" s="29"/>
      <c r="K148" s="29"/>
      <c r="L148" s="11"/>
      <c r="M148" s="11"/>
      <c r="N148" s="11"/>
      <c r="O148" s="11"/>
      <c r="P148" s="11"/>
      <c r="Q148" s="11"/>
      <c r="R148" s="11"/>
      <c r="S148" s="30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F148" s="11"/>
      <c r="AG148" s="11"/>
      <c r="AH148" s="11"/>
      <c r="AK148" s="11"/>
      <c r="AL148" s="11"/>
      <c r="AM148" s="11"/>
      <c r="AP148" s="11"/>
      <c r="AQ148" s="11"/>
      <c r="AR148" s="11"/>
    </row>
    <row r="149" ht="15.75" customHeight="1">
      <c r="A149" s="9"/>
      <c r="B149" s="9"/>
      <c r="C149" s="29"/>
      <c r="D149" s="29"/>
      <c r="E149" s="29"/>
      <c r="F149" s="29"/>
      <c r="G149" s="29"/>
      <c r="H149" s="29"/>
      <c r="I149" s="29"/>
      <c r="J149" s="29"/>
      <c r="K149" s="29"/>
      <c r="L149" s="11"/>
      <c r="M149" s="11"/>
      <c r="N149" s="11"/>
      <c r="O149" s="11"/>
      <c r="P149" s="11"/>
      <c r="Q149" s="11"/>
      <c r="R149" s="11"/>
      <c r="S149" s="30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F149" s="11"/>
      <c r="AG149" s="11"/>
      <c r="AH149" s="11"/>
      <c r="AK149" s="11"/>
      <c r="AL149" s="11"/>
      <c r="AM149" s="11"/>
      <c r="AP149" s="11"/>
      <c r="AQ149" s="11"/>
      <c r="AR149" s="11"/>
    </row>
    <row r="150" ht="15.75" customHeight="1">
      <c r="A150" s="9"/>
      <c r="B150" s="9"/>
      <c r="C150" s="29"/>
      <c r="D150" s="29"/>
      <c r="E150" s="29"/>
      <c r="F150" s="29"/>
      <c r="G150" s="29"/>
      <c r="H150" s="29"/>
      <c r="I150" s="29"/>
      <c r="J150" s="29"/>
      <c r="K150" s="29"/>
      <c r="L150" s="11"/>
      <c r="M150" s="11"/>
      <c r="N150" s="11"/>
      <c r="O150" s="11"/>
      <c r="P150" s="11"/>
      <c r="Q150" s="11"/>
      <c r="R150" s="11"/>
      <c r="S150" s="30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F150" s="11"/>
      <c r="AG150" s="11"/>
      <c r="AH150" s="11"/>
      <c r="AK150" s="11"/>
      <c r="AL150" s="11"/>
      <c r="AM150" s="11"/>
      <c r="AP150" s="11"/>
      <c r="AQ150" s="11"/>
      <c r="AR150" s="11"/>
    </row>
    <row r="151" ht="15.75" customHeight="1">
      <c r="A151" s="9"/>
      <c r="B151" s="9"/>
      <c r="C151" s="29"/>
      <c r="D151" s="29"/>
      <c r="E151" s="29"/>
      <c r="F151" s="29"/>
      <c r="G151" s="29"/>
      <c r="H151" s="29"/>
      <c r="I151" s="29"/>
      <c r="J151" s="29"/>
      <c r="K151" s="29"/>
      <c r="L151" s="11"/>
      <c r="M151" s="11"/>
      <c r="N151" s="11"/>
      <c r="O151" s="11"/>
      <c r="P151" s="11"/>
      <c r="Q151" s="11"/>
      <c r="R151" s="11"/>
      <c r="S151" s="30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F151" s="11"/>
      <c r="AG151" s="11"/>
      <c r="AH151" s="11"/>
      <c r="AK151" s="11"/>
      <c r="AL151" s="11"/>
      <c r="AM151" s="11"/>
      <c r="AP151" s="11"/>
      <c r="AQ151" s="11"/>
      <c r="AR151" s="11"/>
    </row>
    <row r="152" ht="15.75" customHeight="1">
      <c r="A152" s="9"/>
      <c r="B152" s="9"/>
      <c r="C152" s="29"/>
      <c r="D152" s="29"/>
      <c r="E152" s="29"/>
      <c r="F152" s="29"/>
      <c r="G152" s="29"/>
      <c r="H152" s="29"/>
      <c r="I152" s="29"/>
      <c r="J152" s="29"/>
      <c r="K152" s="29"/>
      <c r="L152" s="11"/>
      <c r="M152" s="11"/>
      <c r="N152" s="11"/>
      <c r="O152" s="11"/>
      <c r="P152" s="11"/>
      <c r="Q152" s="11"/>
      <c r="R152" s="11"/>
      <c r="S152" s="30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F152" s="11"/>
      <c r="AG152" s="11"/>
      <c r="AH152" s="11"/>
      <c r="AK152" s="11"/>
      <c r="AL152" s="11"/>
      <c r="AM152" s="11"/>
      <c r="AP152" s="11"/>
      <c r="AQ152" s="11"/>
      <c r="AR152" s="11"/>
    </row>
    <row r="153" ht="15.75" customHeight="1">
      <c r="A153" s="9"/>
      <c r="B153" s="9"/>
      <c r="C153" s="29"/>
      <c r="D153" s="29"/>
      <c r="E153" s="29"/>
      <c r="F153" s="29"/>
      <c r="G153" s="29"/>
      <c r="H153" s="29"/>
      <c r="I153" s="29"/>
      <c r="J153" s="29"/>
      <c r="K153" s="29"/>
      <c r="L153" s="11"/>
      <c r="M153" s="11"/>
      <c r="N153" s="11"/>
      <c r="O153" s="11"/>
      <c r="P153" s="11"/>
      <c r="Q153" s="11"/>
      <c r="R153" s="11"/>
      <c r="S153" s="30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F153" s="11"/>
      <c r="AG153" s="11"/>
      <c r="AH153" s="11"/>
      <c r="AK153" s="11"/>
      <c r="AL153" s="11"/>
      <c r="AM153" s="11"/>
      <c r="AP153" s="11"/>
      <c r="AQ153" s="11"/>
      <c r="AR153" s="11"/>
    </row>
    <row r="154" ht="15.75" customHeight="1">
      <c r="A154" s="9"/>
      <c r="B154" s="9"/>
      <c r="C154" s="29"/>
      <c r="D154" s="29"/>
      <c r="E154" s="29"/>
      <c r="F154" s="29"/>
      <c r="G154" s="29"/>
      <c r="H154" s="29"/>
      <c r="I154" s="29"/>
      <c r="J154" s="29"/>
      <c r="K154" s="29"/>
      <c r="L154" s="11"/>
      <c r="M154" s="11"/>
      <c r="N154" s="11"/>
      <c r="O154" s="11"/>
      <c r="P154" s="11"/>
      <c r="Q154" s="11"/>
      <c r="R154" s="11"/>
      <c r="S154" s="30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F154" s="11"/>
      <c r="AG154" s="11"/>
      <c r="AH154" s="11"/>
      <c r="AK154" s="11"/>
      <c r="AL154" s="11"/>
      <c r="AM154" s="11"/>
      <c r="AP154" s="11"/>
      <c r="AQ154" s="11"/>
      <c r="AR154" s="11"/>
    </row>
    <row r="155" ht="15.75" customHeight="1">
      <c r="A155" s="9"/>
      <c r="B155" s="9"/>
      <c r="C155" s="29"/>
      <c r="D155" s="29"/>
      <c r="E155" s="29"/>
      <c r="F155" s="29"/>
      <c r="G155" s="29"/>
      <c r="H155" s="29"/>
      <c r="I155" s="29"/>
      <c r="J155" s="29"/>
      <c r="K155" s="29"/>
      <c r="L155" s="11"/>
      <c r="M155" s="11"/>
      <c r="N155" s="11"/>
      <c r="O155" s="11"/>
      <c r="P155" s="11"/>
      <c r="Q155" s="11"/>
      <c r="R155" s="11"/>
      <c r="S155" s="30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F155" s="11"/>
      <c r="AG155" s="11"/>
      <c r="AH155" s="11"/>
      <c r="AK155" s="11"/>
      <c r="AL155" s="11"/>
      <c r="AM155" s="11"/>
      <c r="AP155" s="11"/>
      <c r="AQ155" s="11"/>
      <c r="AR155" s="11"/>
    </row>
    <row r="156" ht="15.75" customHeight="1">
      <c r="A156" s="9"/>
      <c r="B156" s="9"/>
      <c r="C156" s="29"/>
      <c r="D156" s="29"/>
      <c r="E156" s="29"/>
      <c r="F156" s="29"/>
      <c r="G156" s="29"/>
      <c r="H156" s="29"/>
      <c r="I156" s="29"/>
      <c r="J156" s="29"/>
      <c r="K156" s="29"/>
      <c r="L156" s="11"/>
      <c r="M156" s="11"/>
      <c r="N156" s="11"/>
      <c r="O156" s="11"/>
      <c r="P156" s="11"/>
      <c r="Q156" s="11"/>
      <c r="R156" s="11"/>
      <c r="S156" s="30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F156" s="11"/>
      <c r="AG156" s="11"/>
      <c r="AH156" s="11"/>
      <c r="AK156" s="11"/>
      <c r="AL156" s="11"/>
      <c r="AM156" s="11"/>
      <c r="AP156" s="11"/>
      <c r="AQ156" s="11"/>
      <c r="AR156" s="11"/>
    </row>
    <row r="157" ht="15.75" customHeight="1">
      <c r="A157" s="9"/>
      <c r="B157" s="9"/>
      <c r="C157" s="29"/>
      <c r="D157" s="29"/>
      <c r="E157" s="29"/>
      <c r="F157" s="29"/>
      <c r="G157" s="29"/>
      <c r="H157" s="29"/>
      <c r="I157" s="29"/>
      <c r="J157" s="29"/>
      <c r="K157" s="29"/>
      <c r="L157" s="11"/>
      <c r="M157" s="11"/>
      <c r="N157" s="11"/>
      <c r="O157" s="11"/>
      <c r="P157" s="11"/>
      <c r="Q157" s="11"/>
      <c r="R157" s="11"/>
      <c r="S157" s="30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F157" s="11"/>
      <c r="AG157" s="11"/>
      <c r="AH157" s="11"/>
      <c r="AK157" s="11"/>
      <c r="AL157" s="11"/>
      <c r="AM157" s="11"/>
      <c r="AP157" s="11"/>
      <c r="AQ157" s="11"/>
      <c r="AR157" s="11"/>
    </row>
    <row r="158" ht="15.75" customHeight="1">
      <c r="A158" s="9"/>
      <c r="B158" s="9"/>
      <c r="C158" s="29"/>
      <c r="D158" s="29"/>
      <c r="E158" s="29"/>
      <c r="F158" s="29"/>
      <c r="G158" s="29"/>
      <c r="H158" s="29"/>
      <c r="I158" s="29"/>
      <c r="J158" s="29"/>
      <c r="K158" s="29"/>
      <c r="L158" s="11"/>
      <c r="M158" s="11"/>
      <c r="N158" s="11"/>
      <c r="O158" s="11"/>
      <c r="P158" s="11"/>
      <c r="Q158" s="11"/>
      <c r="R158" s="11"/>
      <c r="S158" s="30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F158" s="11"/>
      <c r="AG158" s="11"/>
      <c r="AH158" s="11"/>
      <c r="AK158" s="11"/>
      <c r="AL158" s="11"/>
      <c r="AM158" s="11"/>
      <c r="AP158" s="11"/>
      <c r="AQ158" s="11"/>
      <c r="AR158" s="11"/>
    </row>
    <row r="159" ht="15.75" customHeight="1">
      <c r="A159" s="9"/>
      <c r="B159" s="9"/>
      <c r="C159" s="29"/>
      <c r="D159" s="29"/>
      <c r="E159" s="29"/>
      <c r="F159" s="29"/>
      <c r="G159" s="29"/>
      <c r="H159" s="29"/>
      <c r="I159" s="29"/>
      <c r="J159" s="29"/>
      <c r="K159" s="29"/>
      <c r="L159" s="11"/>
      <c r="M159" s="11"/>
      <c r="N159" s="11"/>
      <c r="O159" s="11"/>
      <c r="P159" s="11"/>
      <c r="Q159" s="11"/>
      <c r="R159" s="11"/>
      <c r="S159" s="30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F159" s="11"/>
      <c r="AG159" s="11"/>
      <c r="AH159" s="11"/>
      <c r="AK159" s="11"/>
      <c r="AL159" s="11"/>
      <c r="AM159" s="11"/>
      <c r="AP159" s="11"/>
      <c r="AQ159" s="11"/>
      <c r="AR159" s="11"/>
    </row>
    <row r="160" ht="15.75" customHeight="1">
      <c r="A160" s="9"/>
      <c r="B160" s="9"/>
      <c r="C160" s="29"/>
      <c r="D160" s="29"/>
      <c r="E160" s="29"/>
      <c r="F160" s="29"/>
      <c r="G160" s="29"/>
      <c r="H160" s="29"/>
      <c r="I160" s="29"/>
      <c r="J160" s="29"/>
      <c r="K160" s="29"/>
      <c r="L160" s="11"/>
      <c r="M160" s="11"/>
      <c r="N160" s="11"/>
      <c r="O160" s="11"/>
      <c r="P160" s="11"/>
      <c r="Q160" s="11"/>
      <c r="R160" s="11"/>
      <c r="S160" s="30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F160" s="11"/>
      <c r="AG160" s="11"/>
      <c r="AH160" s="11"/>
      <c r="AK160" s="11"/>
      <c r="AL160" s="11"/>
      <c r="AM160" s="11"/>
      <c r="AP160" s="11"/>
      <c r="AQ160" s="11"/>
      <c r="AR160" s="11"/>
    </row>
    <row r="161" ht="15.75" customHeight="1">
      <c r="A161" s="9"/>
      <c r="B161" s="9"/>
      <c r="C161" s="29"/>
      <c r="D161" s="29"/>
      <c r="E161" s="29"/>
      <c r="F161" s="29"/>
      <c r="G161" s="29"/>
      <c r="H161" s="29"/>
      <c r="I161" s="29"/>
      <c r="J161" s="29"/>
      <c r="K161" s="29"/>
      <c r="L161" s="11"/>
      <c r="M161" s="11"/>
      <c r="N161" s="11"/>
      <c r="O161" s="11"/>
      <c r="P161" s="11"/>
      <c r="Q161" s="11"/>
      <c r="R161" s="11"/>
      <c r="S161" s="30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F161" s="11"/>
      <c r="AG161" s="11"/>
      <c r="AH161" s="11"/>
      <c r="AK161" s="11"/>
      <c r="AL161" s="11"/>
      <c r="AM161" s="11"/>
      <c r="AP161" s="11"/>
      <c r="AQ161" s="11"/>
      <c r="AR161" s="11"/>
    </row>
    <row r="162" ht="15.75" customHeight="1">
      <c r="A162" s="9"/>
      <c r="B162" s="9"/>
      <c r="C162" s="29"/>
      <c r="D162" s="29"/>
      <c r="E162" s="29"/>
      <c r="F162" s="29"/>
      <c r="G162" s="29"/>
      <c r="H162" s="29"/>
      <c r="I162" s="29"/>
      <c r="J162" s="29"/>
      <c r="K162" s="29"/>
      <c r="L162" s="11"/>
      <c r="M162" s="11"/>
      <c r="N162" s="11"/>
      <c r="O162" s="11"/>
      <c r="P162" s="11"/>
      <c r="Q162" s="11"/>
      <c r="R162" s="11"/>
      <c r="S162" s="30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F162" s="11"/>
      <c r="AG162" s="11"/>
      <c r="AH162" s="11"/>
      <c r="AK162" s="11"/>
      <c r="AL162" s="11"/>
      <c r="AM162" s="11"/>
      <c r="AP162" s="11"/>
      <c r="AQ162" s="11"/>
      <c r="AR162" s="11"/>
    </row>
    <row r="163" ht="15.75" customHeight="1">
      <c r="A163" s="9"/>
      <c r="B163" s="9"/>
      <c r="C163" s="29"/>
      <c r="D163" s="29"/>
      <c r="E163" s="29"/>
      <c r="F163" s="29"/>
      <c r="G163" s="29"/>
      <c r="H163" s="29"/>
      <c r="I163" s="29"/>
      <c r="J163" s="29"/>
      <c r="K163" s="29"/>
      <c r="L163" s="11"/>
      <c r="M163" s="11"/>
      <c r="N163" s="11"/>
      <c r="O163" s="11"/>
      <c r="P163" s="11"/>
      <c r="Q163" s="11"/>
      <c r="R163" s="11"/>
      <c r="S163" s="30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F163" s="11"/>
      <c r="AG163" s="11"/>
      <c r="AH163" s="11"/>
      <c r="AK163" s="11"/>
      <c r="AL163" s="11"/>
      <c r="AM163" s="11"/>
      <c r="AP163" s="11"/>
      <c r="AQ163" s="11"/>
      <c r="AR163" s="11"/>
    </row>
    <row r="164" ht="15.75" customHeight="1">
      <c r="A164" s="9"/>
      <c r="B164" s="9"/>
      <c r="C164" s="29"/>
      <c r="D164" s="29"/>
      <c r="E164" s="29"/>
      <c r="F164" s="29"/>
      <c r="G164" s="29"/>
      <c r="H164" s="29"/>
      <c r="I164" s="29"/>
      <c r="J164" s="29"/>
      <c r="K164" s="29"/>
      <c r="L164" s="11"/>
      <c r="M164" s="11"/>
      <c r="N164" s="11"/>
      <c r="O164" s="11"/>
      <c r="P164" s="11"/>
      <c r="Q164" s="11"/>
      <c r="R164" s="11"/>
      <c r="S164" s="30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F164" s="11"/>
      <c r="AG164" s="11"/>
      <c r="AH164" s="11"/>
      <c r="AK164" s="11"/>
      <c r="AL164" s="11"/>
      <c r="AM164" s="11"/>
      <c r="AP164" s="11"/>
      <c r="AQ164" s="11"/>
      <c r="AR164" s="11"/>
    </row>
    <row r="165" ht="15.75" customHeight="1">
      <c r="A165" s="9"/>
      <c r="B165" s="9"/>
      <c r="C165" s="29"/>
      <c r="D165" s="29"/>
      <c r="E165" s="29"/>
      <c r="F165" s="29"/>
      <c r="G165" s="29"/>
      <c r="H165" s="29"/>
      <c r="I165" s="29"/>
      <c r="J165" s="29"/>
      <c r="K165" s="29"/>
      <c r="L165" s="11"/>
      <c r="M165" s="11"/>
      <c r="N165" s="11"/>
      <c r="O165" s="11"/>
      <c r="P165" s="11"/>
      <c r="Q165" s="11"/>
      <c r="R165" s="11"/>
      <c r="S165" s="30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F165" s="11"/>
      <c r="AG165" s="11"/>
      <c r="AH165" s="11"/>
      <c r="AK165" s="11"/>
      <c r="AL165" s="11"/>
      <c r="AM165" s="11"/>
      <c r="AP165" s="11"/>
      <c r="AQ165" s="11"/>
      <c r="AR165" s="11"/>
    </row>
    <row r="166" ht="15.75" customHeight="1">
      <c r="A166" s="9"/>
      <c r="B166" s="9"/>
      <c r="C166" s="29"/>
      <c r="D166" s="29"/>
      <c r="E166" s="29"/>
      <c r="F166" s="29"/>
      <c r="G166" s="29"/>
      <c r="H166" s="29"/>
      <c r="I166" s="29"/>
      <c r="J166" s="29"/>
      <c r="K166" s="29"/>
      <c r="L166" s="11"/>
      <c r="M166" s="11"/>
      <c r="N166" s="11"/>
      <c r="O166" s="11"/>
      <c r="P166" s="11"/>
      <c r="Q166" s="11"/>
      <c r="R166" s="11"/>
      <c r="S166" s="30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F166" s="11"/>
      <c r="AG166" s="11"/>
      <c r="AH166" s="11"/>
      <c r="AK166" s="11"/>
      <c r="AL166" s="11"/>
      <c r="AM166" s="11"/>
      <c r="AP166" s="11"/>
      <c r="AQ166" s="11"/>
      <c r="AR166" s="11"/>
    </row>
    <row r="167" ht="15.75" customHeight="1">
      <c r="A167" s="9"/>
      <c r="B167" s="9"/>
      <c r="C167" s="29"/>
      <c r="D167" s="29"/>
      <c r="E167" s="29"/>
      <c r="F167" s="29"/>
      <c r="G167" s="29"/>
      <c r="H167" s="29"/>
      <c r="I167" s="29"/>
      <c r="J167" s="29"/>
      <c r="K167" s="29"/>
      <c r="L167" s="11"/>
      <c r="M167" s="11"/>
      <c r="N167" s="11"/>
      <c r="O167" s="11"/>
      <c r="P167" s="11"/>
      <c r="Q167" s="11"/>
      <c r="R167" s="11"/>
      <c r="S167" s="30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F167" s="11"/>
      <c r="AG167" s="11"/>
      <c r="AH167" s="11"/>
      <c r="AK167" s="11"/>
      <c r="AL167" s="11"/>
      <c r="AM167" s="11"/>
      <c r="AP167" s="11"/>
      <c r="AQ167" s="11"/>
      <c r="AR167" s="11"/>
    </row>
    <row r="168" ht="15.75" customHeight="1">
      <c r="A168" s="9"/>
      <c r="B168" s="9"/>
      <c r="C168" s="29"/>
      <c r="D168" s="29"/>
      <c r="E168" s="29"/>
      <c r="F168" s="29"/>
      <c r="G168" s="29"/>
      <c r="H168" s="29"/>
      <c r="I168" s="29"/>
      <c r="J168" s="29"/>
      <c r="K168" s="29"/>
      <c r="L168" s="11"/>
      <c r="M168" s="11"/>
      <c r="N168" s="11"/>
      <c r="O168" s="11"/>
      <c r="P168" s="11"/>
      <c r="Q168" s="11"/>
      <c r="R168" s="11"/>
      <c r="S168" s="30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F168" s="11"/>
      <c r="AG168" s="11"/>
      <c r="AH168" s="11"/>
      <c r="AK168" s="11"/>
      <c r="AL168" s="11"/>
      <c r="AM168" s="11"/>
      <c r="AP168" s="11"/>
      <c r="AQ168" s="11"/>
      <c r="AR168" s="11"/>
    </row>
    <row r="169" ht="15.75" customHeight="1">
      <c r="A169" s="9"/>
      <c r="B169" s="9"/>
      <c r="C169" s="29"/>
      <c r="D169" s="29"/>
      <c r="E169" s="29"/>
      <c r="F169" s="29"/>
      <c r="G169" s="29"/>
      <c r="H169" s="29"/>
      <c r="I169" s="29"/>
      <c r="J169" s="29"/>
      <c r="K169" s="29"/>
      <c r="L169" s="11"/>
      <c r="M169" s="11"/>
      <c r="N169" s="11"/>
      <c r="O169" s="11"/>
      <c r="P169" s="11"/>
      <c r="Q169" s="11"/>
      <c r="R169" s="11"/>
      <c r="S169" s="30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F169" s="11"/>
      <c r="AG169" s="11"/>
      <c r="AH169" s="11"/>
      <c r="AK169" s="11"/>
      <c r="AL169" s="11"/>
      <c r="AM169" s="11"/>
      <c r="AP169" s="11"/>
      <c r="AQ169" s="11"/>
      <c r="AR169" s="11"/>
    </row>
    <row r="170" ht="15.75" customHeight="1">
      <c r="A170" s="9"/>
      <c r="B170" s="9"/>
      <c r="C170" s="29"/>
      <c r="D170" s="29"/>
      <c r="E170" s="29"/>
      <c r="F170" s="29"/>
      <c r="G170" s="29"/>
      <c r="H170" s="29"/>
      <c r="I170" s="29"/>
      <c r="J170" s="29"/>
      <c r="K170" s="29"/>
      <c r="L170" s="11"/>
      <c r="M170" s="11"/>
      <c r="N170" s="11"/>
      <c r="O170" s="11"/>
      <c r="P170" s="11"/>
      <c r="Q170" s="11"/>
      <c r="R170" s="11"/>
      <c r="S170" s="30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F170" s="11"/>
      <c r="AG170" s="11"/>
      <c r="AH170" s="11"/>
      <c r="AK170" s="11"/>
      <c r="AL170" s="11"/>
      <c r="AM170" s="11"/>
      <c r="AP170" s="11"/>
      <c r="AQ170" s="11"/>
      <c r="AR170" s="11"/>
    </row>
    <row r="171" ht="15.75" customHeight="1">
      <c r="A171" s="9"/>
      <c r="B171" s="9"/>
      <c r="C171" s="29"/>
      <c r="D171" s="29"/>
      <c r="E171" s="29"/>
      <c r="F171" s="29"/>
      <c r="G171" s="29"/>
      <c r="H171" s="29"/>
      <c r="I171" s="29"/>
      <c r="J171" s="29"/>
      <c r="K171" s="29"/>
      <c r="L171" s="11"/>
      <c r="M171" s="11"/>
      <c r="N171" s="11"/>
      <c r="O171" s="11"/>
      <c r="P171" s="11"/>
      <c r="Q171" s="11"/>
      <c r="R171" s="11"/>
      <c r="S171" s="30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F171" s="11"/>
      <c r="AG171" s="11"/>
      <c r="AH171" s="11"/>
      <c r="AK171" s="11"/>
      <c r="AL171" s="11"/>
      <c r="AM171" s="11"/>
      <c r="AP171" s="11"/>
      <c r="AQ171" s="11"/>
      <c r="AR171" s="11"/>
    </row>
    <row r="172" ht="15.75" customHeight="1">
      <c r="A172" s="9"/>
      <c r="B172" s="9"/>
      <c r="C172" s="29"/>
      <c r="D172" s="29"/>
      <c r="E172" s="29"/>
      <c r="F172" s="29"/>
      <c r="G172" s="29"/>
      <c r="H172" s="29"/>
      <c r="I172" s="29"/>
      <c r="J172" s="29"/>
      <c r="K172" s="29"/>
      <c r="L172" s="11"/>
      <c r="M172" s="11"/>
      <c r="N172" s="11"/>
      <c r="O172" s="11"/>
      <c r="P172" s="11"/>
      <c r="Q172" s="11"/>
      <c r="R172" s="11"/>
      <c r="S172" s="30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F172" s="11"/>
      <c r="AG172" s="11"/>
      <c r="AH172" s="11"/>
      <c r="AK172" s="11"/>
      <c r="AL172" s="11"/>
      <c r="AM172" s="11"/>
      <c r="AP172" s="11"/>
      <c r="AQ172" s="11"/>
      <c r="AR172" s="11"/>
    </row>
    <row r="173" ht="15.75" customHeight="1">
      <c r="A173" s="9"/>
      <c r="B173" s="9"/>
      <c r="C173" s="29"/>
      <c r="D173" s="29"/>
      <c r="E173" s="29"/>
      <c r="F173" s="29"/>
      <c r="G173" s="29"/>
      <c r="H173" s="29"/>
      <c r="I173" s="29"/>
      <c r="J173" s="29"/>
      <c r="K173" s="29"/>
      <c r="L173" s="11"/>
      <c r="M173" s="11"/>
      <c r="N173" s="11"/>
      <c r="O173" s="11"/>
      <c r="P173" s="11"/>
      <c r="Q173" s="11"/>
      <c r="R173" s="11"/>
      <c r="S173" s="30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F173" s="11"/>
      <c r="AG173" s="11"/>
      <c r="AH173" s="11"/>
      <c r="AK173" s="11"/>
      <c r="AL173" s="11"/>
      <c r="AM173" s="11"/>
      <c r="AP173" s="11"/>
      <c r="AQ173" s="11"/>
      <c r="AR173" s="11"/>
    </row>
    <row r="174" ht="15.75" customHeight="1">
      <c r="A174" s="9"/>
      <c r="B174" s="9"/>
      <c r="C174" s="29"/>
      <c r="D174" s="29"/>
      <c r="E174" s="29"/>
      <c r="F174" s="29"/>
      <c r="G174" s="29"/>
      <c r="H174" s="29"/>
      <c r="I174" s="29"/>
      <c r="J174" s="29"/>
      <c r="K174" s="29"/>
      <c r="L174" s="11"/>
      <c r="M174" s="11"/>
      <c r="N174" s="11"/>
      <c r="O174" s="11"/>
      <c r="P174" s="11"/>
      <c r="Q174" s="11"/>
      <c r="R174" s="11"/>
      <c r="S174" s="30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F174" s="11"/>
      <c r="AG174" s="11"/>
      <c r="AH174" s="11"/>
      <c r="AK174" s="11"/>
      <c r="AL174" s="11"/>
      <c r="AM174" s="11"/>
      <c r="AP174" s="11"/>
      <c r="AQ174" s="11"/>
      <c r="AR174" s="11"/>
    </row>
    <row r="175" ht="15.75" customHeight="1">
      <c r="A175" s="9"/>
      <c r="B175" s="9"/>
      <c r="C175" s="29"/>
      <c r="D175" s="29"/>
      <c r="E175" s="29"/>
      <c r="F175" s="29"/>
      <c r="G175" s="29"/>
      <c r="H175" s="29"/>
      <c r="I175" s="29"/>
      <c r="J175" s="29"/>
      <c r="K175" s="29"/>
      <c r="L175" s="11"/>
      <c r="M175" s="11"/>
      <c r="N175" s="11"/>
      <c r="O175" s="11"/>
      <c r="P175" s="11"/>
      <c r="Q175" s="11"/>
      <c r="R175" s="11"/>
      <c r="S175" s="30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F175" s="11"/>
      <c r="AG175" s="11"/>
      <c r="AH175" s="11"/>
      <c r="AK175" s="11"/>
      <c r="AL175" s="11"/>
      <c r="AM175" s="11"/>
      <c r="AP175" s="11"/>
      <c r="AQ175" s="11"/>
      <c r="AR175" s="11"/>
    </row>
    <row r="176" ht="15.75" customHeight="1">
      <c r="A176" s="9"/>
      <c r="B176" s="9"/>
      <c r="C176" s="29"/>
      <c r="D176" s="29"/>
      <c r="E176" s="29"/>
      <c r="F176" s="29"/>
      <c r="G176" s="29"/>
      <c r="H176" s="29"/>
      <c r="I176" s="29"/>
      <c r="J176" s="29"/>
      <c r="K176" s="29"/>
      <c r="L176" s="11"/>
      <c r="M176" s="11"/>
      <c r="N176" s="11"/>
      <c r="O176" s="11"/>
      <c r="P176" s="11"/>
      <c r="Q176" s="11"/>
      <c r="R176" s="11"/>
      <c r="S176" s="30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F176" s="11"/>
      <c r="AG176" s="11"/>
      <c r="AH176" s="11"/>
      <c r="AK176" s="11"/>
      <c r="AL176" s="11"/>
      <c r="AM176" s="11"/>
      <c r="AP176" s="11"/>
      <c r="AQ176" s="11"/>
      <c r="AR176" s="11"/>
    </row>
    <row r="177" ht="15.75" customHeight="1">
      <c r="A177" s="9"/>
      <c r="B177" s="9"/>
      <c r="C177" s="29"/>
      <c r="D177" s="29"/>
      <c r="E177" s="29"/>
      <c r="F177" s="29"/>
      <c r="G177" s="29"/>
      <c r="H177" s="29"/>
      <c r="I177" s="29"/>
      <c r="J177" s="29"/>
      <c r="K177" s="29"/>
      <c r="L177" s="11"/>
      <c r="M177" s="11"/>
      <c r="N177" s="11"/>
      <c r="O177" s="11"/>
      <c r="P177" s="11"/>
      <c r="Q177" s="11"/>
      <c r="R177" s="11"/>
      <c r="S177" s="30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F177" s="11"/>
      <c r="AG177" s="11"/>
      <c r="AH177" s="11"/>
      <c r="AK177" s="11"/>
      <c r="AL177" s="11"/>
      <c r="AM177" s="11"/>
      <c r="AP177" s="11"/>
      <c r="AQ177" s="11"/>
      <c r="AR177" s="11"/>
    </row>
    <row r="178" ht="15.75" customHeight="1">
      <c r="A178" s="9"/>
      <c r="B178" s="9"/>
      <c r="C178" s="29"/>
      <c r="D178" s="29"/>
      <c r="E178" s="29"/>
      <c r="F178" s="29"/>
      <c r="G178" s="29"/>
      <c r="H178" s="29"/>
      <c r="I178" s="29"/>
      <c r="J178" s="29"/>
      <c r="K178" s="29"/>
      <c r="L178" s="11"/>
      <c r="M178" s="11"/>
      <c r="N178" s="11"/>
      <c r="O178" s="11"/>
      <c r="P178" s="11"/>
      <c r="Q178" s="11"/>
      <c r="R178" s="11"/>
      <c r="S178" s="30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F178" s="11"/>
      <c r="AG178" s="11"/>
      <c r="AH178" s="11"/>
      <c r="AK178" s="11"/>
      <c r="AL178" s="11"/>
      <c r="AM178" s="11"/>
      <c r="AP178" s="11"/>
      <c r="AQ178" s="11"/>
      <c r="AR178" s="11"/>
    </row>
    <row r="179" ht="15.75" customHeight="1">
      <c r="A179" s="9"/>
      <c r="B179" s="9"/>
      <c r="C179" s="29"/>
      <c r="D179" s="29"/>
      <c r="E179" s="29"/>
      <c r="F179" s="29"/>
      <c r="G179" s="29"/>
      <c r="H179" s="29"/>
      <c r="I179" s="29"/>
      <c r="J179" s="29"/>
      <c r="K179" s="29"/>
      <c r="L179" s="11"/>
      <c r="M179" s="11"/>
      <c r="N179" s="11"/>
      <c r="O179" s="11"/>
      <c r="P179" s="11"/>
      <c r="Q179" s="11"/>
      <c r="R179" s="11"/>
      <c r="S179" s="30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F179" s="11"/>
      <c r="AG179" s="11"/>
      <c r="AH179" s="11"/>
      <c r="AK179" s="11"/>
      <c r="AL179" s="11"/>
      <c r="AM179" s="11"/>
      <c r="AP179" s="11"/>
      <c r="AQ179" s="11"/>
      <c r="AR179" s="11"/>
    </row>
    <row r="180" ht="15.75" customHeight="1">
      <c r="A180" s="9"/>
      <c r="B180" s="9"/>
      <c r="C180" s="29"/>
      <c r="D180" s="29"/>
      <c r="E180" s="29"/>
      <c r="F180" s="29"/>
      <c r="G180" s="29"/>
      <c r="H180" s="29"/>
      <c r="I180" s="29"/>
      <c r="J180" s="29"/>
      <c r="K180" s="29"/>
      <c r="L180" s="11"/>
      <c r="M180" s="11"/>
      <c r="N180" s="11"/>
      <c r="O180" s="11"/>
      <c r="P180" s="11"/>
      <c r="Q180" s="11"/>
      <c r="R180" s="11"/>
      <c r="S180" s="30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F180" s="11"/>
      <c r="AG180" s="11"/>
      <c r="AH180" s="11"/>
      <c r="AK180" s="11"/>
      <c r="AL180" s="11"/>
      <c r="AM180" s="11"/>
      <c r="AP180" s="11"/>
      <c r="AQ180" s="11"/>
      <c r="AR180" s="11"/>
    </row>
    <row r="181" ht="15.75" customHeight="1">
      <c r="A181" s="9"/>
      <c r="B181" s="9"/>
      <c r="C181" s="29"/>
      <c r="D181" s="29"/>
      <c r="E181" s="29"/>
      <c r="F181" s="29"/>
      <c r="G181" s="29"/>
      <c r="H181" s="29"/>
      <c r="I181" s="29"/>
      <c r="J181" s="29"/>
      <c r="K181" s="29"/>
      <c r="L181" s="11"/>
      <c r="M181" s="11"/>
      <c r="N181" s="11"/>
      <c r="O181" s="11"/>
      <c r="P181" s="11"/>
      <c r="Q181" s="11"/>
      <c r="R181" s="11"/>
      <c r="S181" s="30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F181" s="11"/>
      <c r="AG181" s="11"/>
      <c r="AH181" s="11"/>
      <c r="AK181" s="11"/>
      <c r="AL181" s="11"/>
      <c r="AM181" s="11"/>
      <c r="AP181" s="11"/>
      <c r="AQ181" s="11"/>
      <c r="AR181" s="11"/>
    </row>
    <row r="182" ht="15.75" customHeight="1">
      <c r="A182" s="9"/>
      <c r="B182" s="9"/>
      <c r="C182" s="29"/>
      <c r="D182" s="29"/>
      <c r="E182" s="29"/>
      <c r="F182" s="29"/>
      <c r="G182" s="29"/>
      <c r="H182" s="29"/>
      <c r="I182" s="29"/>
      <c r="J182" s="29"/>
      <c r="K182" s="29"/>
      <c r="L182" s="11"/>
      <c r="M182" s="11"/>
      <c r="N182" s="11"/>
      <c r="O182" s="11"/>
      <c r="P182" s="11"/>
      <c r="Q182" s="11"/>
      <c r="R182" s="11"/>
      <c r="S182" s="30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F182" s="11"/>
      <c r="AG182" s="11"/>
      <c r="AH182" s="11"/>
      <c r="AK182" s="11"/>
      <c r="AL182" s="11"/>
      <c r="AM182" s="11"/>
      <c r="AP182" s="11"/>
      <c r="AQ182" s="11"/>
      <c r="AR182" s="11"/>
    </row>
    <row r="183" ht="15.75" customHeight="1">
      <c r="A183" s="9"/>
      <c r="B183" s="9"/>
      <c r="C183" s="29"/>
      <c r="D183" s="29"/>
      <c r="E183" s="29"/>
      <c r="F183" s="29"/>
      <c r="G183" s="29"/>
      <c r="H183" s="29"/>
      <c r="I183" s="29"/>
      <c r="J183" s="29"/>
      <c r="K183" s="29"/>
      <c r="L183" s="11"/>
      <c r="M183" s="11"/>
      <c r="N183" s="11"/>
      <c r="O183" s="11"/>
      <c r="P183" s="11"/>
      <c r="Q183" s="11"/>
      <c r="R183" s="11"/>
      <c r="S183" s="30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F183" s="11"/>
      <c r="AG183" s="11"/>
      <c r="AH183" s="11"/>
      <c r="AK183" s="11"/>
      <c r="AL183" s="11"/>
      <c r="AM183" s="11"/>
      <c r="AP183" s="11"/>
      <c r="AQ183" s="11"/>
      <c r="AR183" s="11"/>
    </row>
    <row r="184" ht="15.75" customHeight="1">
      <c r="A184" s="9"/>
      <c r="B184" s="9"/>
      <c r="C184" s="29"/>
      <c r="D184" s="29"/>
      <c r="E184" s="29"/>
      <c r="F184" s="29"/>
      <c r="G184" s="29"/>
      <c r="H184" s="29"/>
      <c r="I184" s="29"/>
      <c r="J184" s="29"/>
      <c r="K184" s="29"/>
      <c r="L184" s="11"/>
      <c r="M184" s="11"/>
      <c r="N184" s="11"/>
      <c r="O184" s="11"/>
      <c r="P184" s="11"/>
      <c r="Q184" s="11"/>
      <c r="R184" s="11"/>
      <c r="S184" s="30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F184" s="11"/>
      <c r="AG184" s="11"/>
      <c r="AH184" s="11"/>
      <c r="AK184" s="11"/>
      <c r="AL184" s="11"/>
      <c r="AM184" s="11"/>
      <c r="AP184" s="11"/>
      <c r="AQ184" s="11"/>
      <c r="AR184" s="11"/>
    </row>
    <row r="185" ht="15.75" customHeight="1">
      <c r="A185" s="9"/>
      <c r="B185" s="9"/>
      <c r="C185" s="29"/>
      <c r="D185" s="29"/>
      <c r="E185" s="29"/>
      <c r="F185" s="29"/>
      <c r="G185" s="29"/>
      <c r="H185" s="29"/>
      <c r="I185" s="29"/>
      <c r="J185" s="29"/>
      <c r="K185" s="29"/>
      <c r="L185" s="11"/>
      <c r="M185" s="11"/>
      <c r="N185" s="11"/>
      <c r="O185" s="11"/>
      <c r="P185" s="11"/>
      <c r="Q185" s="11"/>
      <c r="R185" s="11"/>
      <c r="S185" s="30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F185" s="11"/>
      <c r="AG185" s="11"/>
      <c r="AH185" s="11"/>
      <c r="AK185" s="11"/>
      <c r="AL185" s="11"/>
      <c r="AM185" s="11"/>
      <c r="AP185" s="11"/>
      <c r="AQ185" s="11"/>
      <c r="AR185" s="11"/>
    </row>
    <row r="186" ht="15.75" customHeight="1">
      <c r="A186" s="9"/>
      <c r="B186" s="9"/>
      <c r="C186" s="29"/>
      <c r="D186" s="29"/>
      <c r="E186" s="29"/>
      <c r="F186" s="29"/>
      <c r="G186" s="29"/>
      <c r="H186" s="29"/>
      <c r="I186" s="29"/>
      <c r="J186" s="29"/>
      <c r="K186" s="29"/>
      <c r="L186" s="11"/>
      <c r="M186" s="11"/>
      <c r="N186" s="11"/>
      <c r="O186" s="11"/>
      <c r="P186" s="11"/>
      <c r="Q186" s="11"/>
      <c r="R186" s="11"/>
      <c r="S186" s="30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F186" s="11"/>
      <c r="AG186" s="11"/>
      <c r="AH186" s="11"/>
      <c r="AK186" s="11"/>
      <c r="AL186" s="11"/>
      <c r="AM186" s="11"/>
      <c r="AP186" s="11"/>
      <c r="AQ186" s="11"/>
      <c r="AR186" s="11"/>
    </row>
    <row r="187" ht="15.75" customHeight="1">
      <c r="A187" s="9"/>
      <c r="B187" s="9"/>
      <c r="C187" s="29"/>
      <c r="D187" s="29"/>
      <c r="E187" s="29"/>
      <c r="F187" s="29"/>
      <c r="G187" s="29"/>
      <c r="H187" s="29"/>
      <c r="I187" s="29"/>
      <c r="J187" s="29"/>
      <c r="K187" s="29"/>
      <c r="L187" s="11"/>
      <c r="M187" s="11"/>
      <c r="N187" s="11"/>
      <c r="O187" s="11"/>
      <c r="P187" s="11"/>
      <c r="Q187" s="11"/>
      <c r="R187" s="11"/>
      <c r="S187" s="30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F187" s="11"/>
      <c r="AG187" s="11"/>
      <c r="AH187" s="11"/>
      <c r="AK187" s="11"/>
      <c r="AL187" s="11"/>
      <c r="AM187" s="11"/>
      <c r="AP187" s="11"/>
      <c r="AQ187" s="11"/>
      <c r="AR187" s="11"/>
    </row>
    <row r="188" ht="15.75" customHeight="1">
      <c r="A188" s="9"/>
      <c r="B188" s="9"/>
      <c r="C188" s="29"/>
      <c r="D188" s="29"/>
      <c r="E188" s="29"/>
      <c r="F188" s="29"/>
      <c r="G188" s="29"/>
      <c r="H188" s="29"/>
      <c r="I188" s="29"/>
      <c r="J188" s="29"/>
      <c r="K188" s="29"/>
      <c r="L188" s="11"/>
      <c r="M188" s="11"/>
      <c r="N188" s="11"/>
      <c r="O188" s="11"/>
      <c r="P188" s="11"/>
      <c r="Q188" s="11"/>
      <c r="R188" s="11"/>
      <c r="S188" s="30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F188" s="11"/>
      <c r="AG188" s="11"/>
      <c r="AH188" s="11"/>
      <c r="AK188" s="11"/>
      <c r="AL188" s="11"/>
      <c r="AM188" s="11"/>
      <c r="AP188" s="11"/>
      <c r="AQ188" s="11"/>
      <c r="AR188" s="11"/>
    </row>
    <row r="189" ht="15.75" customHeight="1">
      <c r="A189" s="9"/>
      <c r="B189" s="9"/>
      <c r="C189" s="29"/>
      <c r="D189" s="29"/>
      <c r="E189" s="29"/>
      <c r="F189" s="29"/>
      <c r="G189" s="29"/>
      <c r="H189" s="29"/>
      <c r="I189" s="29"/>
      <c r="J189" s="29"/>
      <c r="K189" s="29"/>
      <c r="L189" s="11"/>
      <c r="M189" s="11"/>
      <c r="N189" s="11"/>
      <c r="O189" s="11"/>
      <c r="P189" s="11"/>
      <c r="Q189" s="11"/>
      <c r="R189" s="11"/>
      <c r="S189" s="30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F189" s="11"/>
      <c r="AG189" s="11"/>
      <c r="AH189" s="11"/>
      <c r="AK189" s="11"/>
      <c r="AL189" s="11"/>
      <c r="AM189" s="11"/>
      <c r="AP189" s="11"/>
      <c r="AQ189" s="11"/>
      <c r="AR189" s="11"/>
    </row>
    <row r="190" ht="15.75" customHeight="1">
      <c r="A190" s="9"/>
      <c r="B190" s="9"/>
      <c r="C190" s="29"/>
      <c r="D190" s="29"/>
      <c r="E190" s="29"/>
      <c r="F190" s="29"/>
      <c r="G190" s="29"/>
      <c r="H190" s="29"/>
      <c r="I190" s="29"/>
      <c r="J190" s="29"/>
      <c r="K190" s="29"/>
      <c r="L190" s="11"/>
      <c r="M190" s="11"/>
      <c r="N190" s="11"/>
      <c r="O190" s="11"/>
      <c r="P190" s="11"/>
      <c r="Q190" s="11"/>
      <c r="R190" s="11"/>
      <c r="S190" s="30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F190" s="11"/>
      <c r="AG190" s="11"/>
      <c r="AH190" s="11"/>
      <c r="AK190" s="11"/>
      <c r="AL190" s="11"/>
      <c r="AM190" s="11"/>
      <c r="AP190" s="11"/>
      <c r="AQ190" s="11"/>
      <c r="AR190" s="11"/>
    </row>
    <row r="191" ht="15.75" customHeight="1">
      <c r="A191" s="9"/>
      <c r="B191" s="9"/>
      <c r="C191" s="29"/>
      <c r="D191" s="29"/>
      <c r="E191" s="29"/>
      <c r="F191" s="29"/>
      <c r="G191" s="29"/>
      <c r="H191" s="29"/>
      <c r="I191" s="29"/>
      <c r="J191" s="29"/>
      <c r="K191" s="29"/>
      <c r="L191" s="11"/>
      <c r="M191" s="11"/>
      <c r="N191" s="11"/>
      <c r="O191" s="11"/>
      <c r="P191" s="11"/>
      <c r="Q191" s="11"/>
      <c r="R191" s="11"/>
      <c r="S191" s="30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F191" s="11"/>
      <c r="AG191" s="11"/>
      <c r="AH191" s="11"/>
      <c r="AK191" s="11"/>
      <c r="AL191" s="11"/>
      <c r="AM191" s="11"/>
      <c r="AP191" s="11"/>
      <c r="AQ191" s="11"/>
      <c r="AR191" s="11"/>
    </row>
    <row r="192" ht="15.75" customHeight="1">
      <c r="A192" s="9"/>
      <c r="B192" s="9"/>
      <c r="C192" s="29"/>
      <c r="D192" s="29"/>
      <c r="E192" s="29"/>
      <c r="F192" s="29"/>
      <c r="G192" s="29"/>
      <c r="H192" s="29"/>
      <c r="I192" s="29"/>
      <c r="J192" s="29"/>
      <c r="K192" s="29"/>
      <c r="L192" s="11"/>
      <c r="M192" s="11"/>
      <c r="N192" s="11"/>
      <c r="O192" s="11"/>
      <c r="P192" s="11"/>
      <c r="Q192" s="11"/>
      <c r="R192" s="11"/>
      <c r="S192" s="30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F192" s="11"/>
      <c r="AG192" s="11"/>
      <c r="AH192" s="11"/>
      <c r="AK192" s="11"/>
      <c r="AL192" s="11"/>
      <c r="AM192" s="11"/>
      <c r="AP192" s="11"/>
      <c r="AQ192" s="11"/>
      <c r="AR192" s="11"/>
    </row>
    <row r="193" ht="15.75" customHeight="1">
      <c r="A193" s="9"/>
      <c r="B193" s="9"/>
      <c r="C193" s="29"/>
      <c r="D193" s="29"/>
      <c r="E193" s="29"/>
      <c r="F193" s="29"/>
      <c r="G193" s="29"/>
      <c r="H193" s="29"/>
      <c r="I193" s="29"/>
      <c r="J193" s="29"/>
      <c r="K193" s="29"/>
      <c r="L193" s="11"/>
      <c r="M193" s="11"/>
      <c r="N193" s="11"/>
      <c r="O193" s="11"/>
      <c r="P193" s="11"/>
      <c r="Q193" s="11"/>
      <c r="R193" s="11"/>
      <c r="S193" s="30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F193" s="11"/>
      <c r="AG193" s="11"/>
      <c r="AH193" s="11"/>
      <c r="AK193" s="11"/>
      <c r="AL193" s="11"/>
      <c r="AM193" s="11"/>
      <c r="AP193" s="11"/>
      <c r="AQ193" s="11"/>
      <c r="AR193" s="11"/>
    </row>
    <row r="194" ht="15.75" customHeight="1">
      <c r="A194" s="9"/>
      <c r="B194" s="9"/>
      <c r="C194" s="29"/>
      <c r="D194" s="29"/>
      <c r="E194" s="29"/>
      <c r="F194" s="29"/>
      <c r="G194" s="29"/>
      <c r="H194" s="29"/>
      <c r="I194" s="29"/>
      <c r="J194" s="29"/>
      <c r="K194" s="29"/>
      <c r="L194" s="11"/>
      <c r="M194" s="11"/>
      <c r="N194" s="11"/>
      <c r="O194" s="11"/>
      <c r="P194" s="11"/>
      <c r="Q194" s="11"/>
      <c r="R194" s="11"/>
      <c r="S194" s="30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F194" s="11"/>
      <c r="AG194" s="11"/>
      <c r="AH194" s="11"/>
      <c r="AK194" s="11"/>
      <c r="AL194" s="11"/>
      <c r="AM194" s="11"/>
      <c r="AP194" s="11"/>
      <c r="AQ194" s="11"/>
      <c r="AR194" s="11"/>
    </row>
    <row r="195" ht="15.75" customHeight="1">
      <c r="A195" s="9"/>
      <c r="B195" s="9"/>
      <c r="C195" s="29"/>
      <c r="D195" s="29"/>
      <c r="E195" s="29"/>
      <c r="F195" s="29"/>
      <c r="G195" s="29"/>
      <c r="H195" s="29"/>
      <c r="I195" s="29"/>
      <c r="J195" s="29"/>
      <c r="K195" s="29"/>
      <c r="L195" s="11"/>
      <c r="M195" s="11"/>
      <c r="N195" s="11"/>
      <c r="O195" s="11"/>
      <c r="P195" s="11"/>
      <c r="Q195" s="11"/>
      <c r="R195" s="11"/>
      <c r="S195" s="30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F195" s="11"/>
      <c r="AG195" s="11"/>
      <c r="AH195" s="11"/>
      <c r="AK195" s="11"/>
      <c r="AL195" s="11"/>
      <c r="AM195" s="11"/>
      <c r="AP195" s="11"/>
      <c r="AQ195" s="11"/>
      <c r="AR195" s="11"/>
    </row>
    <row r="196" ht="15.75" customHeight="1">
      <c r="A196" s="9"/>
      <c r="B196" s="9"/>
      <c r="C196" s="29"/>
      <c r="D196" s="29"/>
      <c r="E196" s="29"/>
      <c r="F196" s="29"/>
      <c r="G196" s="29"/>
      <c r="H196" s="29"/>
      <c r="I196" s="29"/>
      <c r="J196" s="29"/>
      <c r="K196" s="29"/>
      <c r="L196" s="11"/>
      <c r="M196" s="11"/>
      <c r="N196" s="11"/>
      <c r="O196" s="11"/>
      <c r="P196" s="11"/>
      <c r="Q196" s="11"/>
      <c r="R196" s="11"/>
      <c r="S196" s="30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F196" s="11"/>
      <c r="AG196" s="11"/>
      <c r="AH196" s="11"/>
      <c r="AK196" s="11"/>
      <c r="AL196" s="11"/>
      <c r="AM196" s="11"/>
      <c r="AP196" s="11"/>
      <c r="AQ196" s="11"/>
      <c r="AR196" s="11"/>
    </row>
    <row r="197" ht="15.75" customHeight="1">
      <c r="A197" s="9"/>
      <c r="B197" s="9"/>
      <c r="C197" s="29"/>
      <c r="D197" s="29"/>
      <c r="E197" s="29"/>
      <c r="F197" s="29"/>
      <c r="G197" s="29"/>
      <c r="H197" s="29"/>
      <c r="I197" s="29"/>
      <c r="J197" s="29"/>
      <c r="K197" s="29"/>
      <c r="L197" s="11"/>
      <c r="M197" s="11"/>
      <c r="N197" s="11"/>
      <c r="O197" s="11"/>
      <c r="P197" s="11"/>
      <c r="Q197" s="11"/>
      <c r="R197" s="11"/>
      <c r="S197" s="30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F197" s="11"/>
      <c r="AG197" s="11"/>
      <c r="AH197" s="11"/>
      <c r="AK197" s="11"/>
      <c r="AL197" s="11"/>
      <c r="AM197" s="11"/>
      <c r="AP197" s="11"/>
      <c r="AQ197" s="11"/>
      <c r="AR197" s="11"/>
    </row>
    <row r="198" ht="15.75" customHeight="1">
      <c r="A198" s="9"/>
      <c r="B198" s="9"/>
      <c r="C198" s="29"/>
      <c r="D198" s="29"/>
      <c r="E198" s="29"/>
      <c r="F198" s="29"/>
      <c r="G198" s="29"/>
      <c r="H198" s="29"/>
      <c r="I198" s="29"/>
      <c r="J198" s="29"/>
      <c r="K198" s="29"/>
      <c r="L198" s="11"/>
      <c r="M198" s="11"/>
      <c r="N198" s="11"/>
      <c r="O198" s="11"/>
      <c r="P198" s="11"/>
      <c r="Q198" s="11"/>
      <c r="R198" s="11"/>
      <c r="S198" s="30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F198" s="11"/>
      <c r="AG198" s="11"/>
      <c r="AH198" s="11"/>
      <c r="AK198" s="11"/>
      <c r="AL198" s="11"/>
      <c r="AM198" s="11"/>
      <c r="AP198" s="11"/>
      <c r="AQ198" s="11"/>
      <c r="AR198" s="11"/>
    </row>
    <row r="199" ht="15.75" customHeight="1">
      <c r="A199" s="9"/>
      <c r="B199" s="9"/>
      <c r="C199" s="29"/>
      <c r="D199" s="29"/>
      <c r="E199" s="29"/>
      <c r="F199" s="29"/>
      <c r="G199" s="29"/>
      <c r="H199" s="29"/>
      <c r="I199" s="29"/>
      <c r="J199" s="29"/>
      <c r="K199" s="29"/>
      <c r="L199" s="11"/>
      <c r="M199" s="11"/>
      <c r="N199" s="11"/>
      <c r="O199" s="11"/>
      <c r="P199" s="11"/>
      <c r="Q199" s="11"/>
      <c r="R199" s="11"/>
      <c r="S199" s="30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F199" s="11"/>
      <c r="AG199" s="11"/>
      <c r="AH199" s="11"/>
      <c r="AK199" s="11"/>
      <c r="AL199" s="11"/>
      <c r="AM199" s="11"/>
      <c r="AP199" s="11"/>
      <c r="AQ199" s="11"/>
      <c r="AR199" s="11"/>
    </row>
    <row r="200" ht="15.75" customHeight="1">
      <c r="A200" s="9"/>
      <c r="B200" s="9"/>
      <c r="C200" s="29"/>
      <c r="D200" s="29"/>
      <c r="E200" s="29"/>
      <c r="F200" s="29"/>
      <c r="G200" s="29"/>
      <c r="H200" s="29"/>
      <c r="I200" s="29"/>
      <c r="J200" s="29"/>
      <c r="K200" s="29"/>
      <c r="L200" s="11"/>
      <c r="M200" s="11"/>
      <c r="N200" s="11"/>
      <c r="O200" s="11"/>
      <c r="P200" s="11"/>
      <c r="Q200" s="11"/>
      <c r="R200" s="11"/>
      <c r="S200" s="30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F200" s="11"/>
      <c r="AG200" s="11"/>
      <c r="AH200" s="11"/>
      <c r="AK200" s="11"/>
      <c r="AL200" s="11"/>
      <c r="AM200" s="11"/>
      <c r="AP200" s="11"/>
      <c r="AQ200" s="11"/>
      <c r="AR200" s="11"/>
    </row>
    <row r="201" ht="15.75" customHeight="1">
      <c r="A201" s="9"/>
      <c r="B201" s="9"/>
      <c r="C201" s="29"/>
      <c r="D201" s="29"/>
      <c r="E201" s="29"/>
      <c r="F201" s="29"/>
      <c r="G201" s="29"/>
      <c r="H201" s="29"/>
      <c r="I201" s="29"/>
      <c r="J201" s="29"/>
      <c r="K201" s="29"/>
      <c r="L201" s="11"/>
      <c r="M201" s="11"/>
      <c r="N201" s="11"/>
      <c r="O201" s="11"/>
      <c r="P201" s="11"/>
      <c r="Q201" s="11"/>
      <c r="R201" s="11"/>
      <c r="S201" s="30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F201" s="11"/>
      <c r="AG201" s="11"/>
      <c r="AH201" s="11"/>
      <c r="AK201" s="11"/>
      <c r="AL201" s="11"/>
      <c r="AM201" s="11"/>
      <c r="AP201" s="11"/>
      <c r="AQ201" s="11"/>
      <c r="AR201" s="11"/>
    </row>
    <row r="202" ht="15.75" customHeight="1">
      <c r="A202" s="9"/>
      <c r="B202" s="9"/>
      <c r="C202" s="29"/>
      <c r="D202" s="29"/>
      <c r="E202" s="29"/>
      <c r="F202" s="29"/>
      <c r="G202" s="29"/>
      <c r="H202" s="29"/>
      <c r="I202" s="29"/>
      <c r="J202" s="29"/>
      <c r="K202" s="29"/>
      <c r="L202" s="11"/>
      <c r="M202" s="11"/>
      <c r="N202" s="11"/>
      <c r="O202" s="11"/>
      <c r="P202" s="11"/>
      <c r="Q202" s="11"/>
      <c r="R202" s="11"/>
      <c r="S202" s="30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F202" s="11"/>
      <c r="AG202" s="11"/>
      <c r="AH202" s="11"/>
      <c r="AK202" s="11"/>
      <c r="AL202" s="11"/>
      <c r="AM202" s="11"/>
      <c r="AP202" s="11"/>
      <c r="AQ202" s="11"/>
      <c r="AR202" s="11"/>
    </row>
    <row r="203" ht="15.75" customHeight="1">
      <c r="A203" s="9"/>
      <c r="B203" s="9"/>
      <c r="C203" s="29"/>
      <c r="D203" s="29"/>
      <c r="E203" s="29"/>
      <c r="F203" s="29"/>
      <c r="G203" s="29"/>
      <c r="H203" s="29"/>
      <c r="I203" s="29"/>
      <c r="J203" s="29"/>
      <c r="K203" s="29"/>
      <c r="L203" s="11"/>
      <c r="M203" s="11"/>
      <c r="N203" s="11"/>
      <c r="O203" s="11"/>
      <c r="P203" s="11"/>
      <c r="Q203" s="11"/>
      <c r="R203" s="11"/>
      <c r="S203" s="30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F203" s="11"/>
      <c r="AG203" s="11"/>
      <c r="AH203" s="11"/>
      <c r="AK203" s="11"/>
      <c r="AL203" s="11"/>
      <c r="AM203" s="11"/>
      <c r="AP203" s="11"/>
      <c r="AQ203" s="11"/>
      <c r="AR203" s="11"/>
    </row>
    <row r="204" ht="15.75" customHeight="1">
      <c r="A204" s="9"/>
      <c r="B204" s="9"/>
      <c r="C204" s="29"/>
      <c r="D204" s="29"/>
      <c r="E204" s="29"/>
      <c r="F204" s="29"/>
      <c r="G204" s="29"/>
      <c r="H204" s="29"/>
      <c r="I204" s="29"/>
      <c r="J204" s="29"/>
      <c r="K204" s="29"/>
      <c r="L204" s="11"/>
      <c r="M204" s="11"/>
      <c r="N204" s="11"/>
      <c r="O204" s="11"/>
      <c r="P204" s="11"/>
      <c r="Q204" s="11"/>
      <c r="R204" s="11"/>
      <c r="S204" s="30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F204" s="11"/>
      <c r="AG204" s="11"/>
      <c r="AH204" s="11"/>
      <c r="AK204" s="11"/>
      <c r="AL204" s="11"/>
      <c r="AM204" s="11"/>
      <c r="AP204" s="11"/>
      <c r="AQ204" s="11"/>
      <c r="AR204" s="11"/>
    </row>
    <row r="205" ht="15.75" customHeight="1">
      <c r="A205" s="9"/>
      <c r="B205" s="9"/>
      <c r="C205" s="29"/>
      <c r="D205" s="29"/>
      <c r="E205" s="29"/>
      <c r="F205" s="29"/>
      <c r="G205" s="29"/>
      <c r="H205" s="29"/>
      <c r="I205" s="29"/>
      <c r="J205" s="29"/>
      <c r="K205" s="29"/>
      <c r="L205" s="11"/>
      <c r="M205" s="11"/>
      <c r="N205" s="11"/>
      <c r="O205" s="11"/>
      <c r="P205" s="11"/>
      <c r="Q205" s="11"/>
      <c r="R205" s="11"/>
      <c r="S205" s="30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F205" s="11"/>
      <c r="AG205" s="11"/>
      <c r="AH205" s="11"/>
      <c r="AK205" s="11"/>
      <c r="AL205" s="11"/>
      <c r="AM205" s="11"/>
      <c r="AP205" s="11"/>
      <c r="AQ205" s="11"/>
      <c r="AR205" s="11"/>
    </row>
    <row r="206" ht="15.75" customHeight="1">
      <c r="A206" s="9"/>
      <c r="B206" s="9"/>
      <c r="C206" s="29"/>
      <c r="D206" s="29"/>
      <c r="E206" s="29"/>
      <c r="F206" s="29"/>
      <c r="G206" s="29"/>
      <c r="H206" s="29"/>
      <c r="I206" s="29"/>
      <c r="J206" s="29"/>
      <c r="K206" s="29"/>
      <c r="L206" s="11"/>
      <c r="M206" s="11"/>
      <c r="N206" s="11"/>
      <c r="O206" s="11"/>
      <c r="P206" s="11"/>
      <c r="Q206" s="11"/>
      <c r="R206" s="11"/>
      <c r="S206" s="30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F206" s="11"/>
      <c r="AG206" s="11"/>
      <c r="AH206" s="11"/>
      <c r="AK206" s="11"/>
      <c r="AL206" s="11"/>
      <c r="AM206" s="11"/>
      <c r="AP206" s="11"/>
      <c r="AQ206" s="11"/>
      <c r="AR206" s="11"/>
    </row>
    <row r="207" ht="15.75" customHeight="1">
      <c r="A207" s="9"/>
      <c r="B207" s="9"/>
      <c r="C207" s="29"/>
      <c r="D207" s="29"/>
      <c r="E207" s="29"/>
      <c r="F207" s="29"/>
      <c r="G207" s="29"/>
      <c r="H207" s="29"/>
      <c r="I207" s="29"/>
      <c r="J207" s="29"/>
      <c r="K207" s="29"/>
      <c r="L207" s="11"/>
      <c r="M207" s="11"/>
      <c r="N207" s="11"/>
      <c r="O207" s="11"/>
      <c r="P207" s="11"/>
      <c r="Q207" s="11"/>
      <c r="R207" s="11"/>
      <c r="S207" s="30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F207" s="11"/>
      <c r="AG207" s="11"/>
      <c r="AH207" s="11"/>
      <c r="AK207" s="11"/>
      <c r="AL207" s="11"/>
      <c r="AM207" s="11"/>
      <c r="AP207" s="11"/>
      <c r="AQ207" s="11"/>
      <c r="AR207" s="11"/>
    </row>
    <row r="208" ht="15.75" customHeight="1">
      <c r="A208" s="9"/>
      <c r="B208" s="9"/>
      <c r="C208" s="29"/>
      <c r="D208" s="29"/>
      <c r="E208" s="29"/>
      <c r="F208" s="29"/>
      <c r="G208" s="29"/>
      <c r="H208" s="29"/>
      <c r="I208" s="29"/>
      <c r="J208" s="29"/>
      <c r="K208" s="29"/>
      <c r="L208" s="11"/>
      <c r="M208" s="11"/>
      <c r="N208" s="11"/>
      <c r="O208" s="11"/>
      <c r="P208" s="11"/>
      <c r="Q208" s="11"/>
      <c r="R208" s="11"/>
      <c r="S208" s="30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F208" s="11"/>
      <c r="AG208" s="11"/>
      <c r="AH208" s="11"/>
      <c r="AK208" s="11"/>
      <c r="AL208" s="11"/>
      <c r="AM208" s="11"/>
      <c r="AP208" s="11"/>
      <c r="AQ208" s="11"/>
      <c r="AR208" s="11"/>
    </row>
    <row r="209" ht="15.75" customHeight="1">
      <c r="A209" s="9"/>
      <c r="B209" s="9"/>
      <c r="C209" s="29"/>
      <c r="D209" s="29"/>
      <c r="E209" s="29"/>
      <c r="F209" s="29"/>
      <c r="G209" s="29"/>
      <c r="H209" s="29"/>
      <c r="I209" s="29"/>
      <c r="J209" s="29"/>
      <c r="K209" s="29"/>
      <c r="L209" s="11"/>
      <c r="M209" s="11"/>
      <c r="N209" s="11"/>
      <c r="O209" s="11"/>
      <c r="P209" s="11"/>
      <c r="Q209" s="11"/>
      <c r="R209" s="11"/>
      <c r="S209" s="30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F209" s="11"/>
      <c r="AG209" s="11"/>
      <c r="AH209" s="11"/>
      <c r="AK209" s="11"/>
      <c r="AL209" s="11"/>
      <c r="AM209" s="11"/>
      <c r="AP209" s="11"/>
      <c r="AQ209" s="11"/>
      <c r="AR209" s="11"/>
    </row>
    <row r="210" ht="15.75" customHeight="1">
      <c r="A210" s="9"/>
      <c r="B210" s="9"/>
      <c r="C210" s="29"/>
      <c r="D210" s="29"/>
      <c r="E210" s="29"/>
      <c r="F210" s="29"/>
      <c r="G210" s="29"/>
      <c r="H210" s="29"/>
      <c r="I210" s="29"/>
      <c r="J210" s="29"/>
      <c r="K210" s="29"/>
      <c r="L210" s="11"/>
      <c r="M210" s="11"/>
      <c r="N210" s="11"/>
      <c r="O210" s="11"/>
      <c r="P210" s="11"/>
      <c r="Q210" s="11"/>
      <c r="R210" s="11"/>
      <c r="S210" s="30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F210" s="11"/>
      <c r="AG210" s="11"/>
      <c r="AH210" s="11"/>
      <c r="AK210" s="11"/>
      <c r="AL210" s="11"/>
      <c r="AM210" s="11"/>
      <c r="AP210" s="11"/>
      <c r="AQ210" s="11"/>
      <c r="AR210" s="11"/>
    </row>
    <row r="211" ht="15.75" customHeight="1">
      <c r="A211" s="9"/>
      <c r="B211" s="9"/>
      <c r="C211" s="29"/>
      <c r="D211" s="29"/>
      <c r="E211" s="29"/>
      <c r="F211" s="29"/>
      <c r="G211" s="29"/>
      <c r="H211" s="29"/>
      <c r="I211" s="29"/>
      <c r="J211" s="29"/>
      <c r="K211" s="29"/>
      <c r="L211" s="11"/>
      <c r="M211" s="11"/>
      <c r="N211" s="11"/>
      <c r="O211" s="11"/>
      <c r="P211" s="11"/>
      <c r="Q211" s="11"/>
      <c r="R211" s="11"/>
      <c r="S211" s="30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F211" s="11"/>
      <c r="AG211" s="11"/>
      <c r="AH211" s="11"/>
      <c r="AK211" s="11"/>
      <c r="AL211" s="11"/>
      <c r="AM211" s="11"/>
      <c r="AP211" s="11"/>
      <c r="AQ211" s="11"/>
      <c r="AR211" s="11"/>
    </row>
    <row r="212" ht="15.75" customHeight="1">
      <c r="A212" s="9"/>
      <c r="B212" s="9"/>
      <c r="C212" s="29"/>
      <c r="D212" s="29"/>
      <c r="E212" s="29"/>
      <c r="F212" s="29"/>
      <c r="G212" s="29"/>
      <c r="H212" s="29"/>
      <c r="I212" s="29"/>
      <c r="J212" s="29"/>
      <c r="K212" s="29"/>
      <c r="L212" s="11"/>
      <c r="M212" s="11"/>
      <c r="N212" s="11"/>
      <c r="O212" s="11"/>
      <c r="P212" s="11"/>
      <c r="Q212" s="11"/>
      <c r="R212" s="11"/>
      <c r="S212" s="30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F212" s="11"/>
      <c r="AG212" s="11"/>
      <c r="AH212" s="11"/>
      <c r="AK212" s="11"/>
      <c r="AL212" s="11"/>
      <c r="AM212" s="11"/>
      <c r="AP212" s="11"/>
      <c r="AQ212" s="11"/>
      <c r="AR212" s="11"/>
    </row>
    <row r="213" ht="15.75" customHeight="1">
      <c r="A213" s="9"/>
      <c r="B213" s="9"/>
      <c r="C213" s="29"/>
      <c r="D213" s="29"/>
      <c r="E213" s="29"/>
      <c r="F213" s="29"/>
      <c r="G213" s="29"/>
      <c r="H213" s="29"/>
      <c r="I213" s="29"/>
      <c r="J213" s="29"/>
      <c r="K213" s="29"/>
      <c r="L213" s="11"/>
      <c r="M213" s="11"/>
      <c r="N213" s="11"/>
      <c r="O213" s="11"/>
      <c r="P213" s="11"/>
      <c r="Q213" s="11"/>
      <c r="R213" s="11"/>
      <c r="S213" s="30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F213" s="11"/>
      <c r="AG213" s="11"/>
      <c r="AH213" s="11"/>
      <c r="AK213" s="11"/>
      <c r="AL213" s="11"/>
      <c r="AM213" s="11"/>
      <c r="AP213" s="11"/>
      <c r="AQ213" s="11"/>
      <c r="AR213" s="11"/>
    </row>
    <row r="214" ht="15.75" customHeight="1">
      <c r="A214" s="9"/>
      <c r="B214" s="9"/>
      <c r="C214" s="29"/>
      <c r="D214" s="29"/>
      <c r="E214" s="29"/>
      <c r="F214" s="29"/>
      <c r="G214" s="29"/>
      <c r="H214" s="29"/>
      <c r="I214" s="29"/>
      <c r="J214" s="29"/>
      <c r="K214" s="29"/>
      <c r="L214" s="11"/>
      <c r="M214" s="11"/>
      <c r="N214" s="11"/>
      <c r="O214" s="11"/>
      <c r="P214" s="11"/>
      <c r="Q214" s="11"/>
      <c r="R214" s="11"/>
      <c r="S214" s="30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F214" s="11"/>
      <c r="AG214" s="11"/>
      <c r="AH214" s="11"/>
      <c r="AK214" s="11"/>
      <c r="AL214" s="11"/>
      <c r="AM214" s="11"/>
      <c r="AP214" s="11"/>
      <c r="AQ214" s="11"/>
      <c r="AR214" s="11"/>
    </row>
    <row r="215" ht="15.75" customHeight="1">
      <c r="A215" s="9"/>
      <c r="B215" s="9"/>
      <c r="C215" s="29"/>
      <c r="D215" s="29"/>
      <c r="E215" s="29"/>
      <c r="F215" s="29"/>
      <c r="G215" s="29"/>
      <c r="H215" s="29"/>
      <c r="I215" s="29"/>
      <c r="J215" s="29"/>
      <c r="K215" s="29"/>
      <c r="L215" s="11"/>
      <c r="M215" s="11"/>
      <c r="N215" s="11"/>
      <c r="O215" s="11"/>
      <c r="P215" s="11"/>
      <c r="Q215" s="11"/>
      <c r="R215" s="11"/>
      <c r="S215" s="30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F215" s="11"/>
      <c r="AG215" s="11"/>
      <c r="AH215" s="11"/>
      <c r="AK215" s="11"/>
      <c r="AL215" s="11"/>
      <c r="AM215" s="11"/>
      <c r="AP215" s="11"/>
      <c r="AQ215" s="11"/>
      <c r="AR215" s="11"/>
    </row>
    <row r="216" ht="15.75" customHeight="1">
      <c r="A216" s="9"/>
      <c r="B216" s="9"/>
      <c r="C216" s="29"/>
      <c r="D216" s="29"/>
      <c r="E216" s="29"/>
      <c r="F216" s="29"/>
      <c r="G216" s="29"/>
      <c r="H216" s="29"/>
      <c r="I216" s="29"/>
      <c r="J216" s="29"/>
      <c r="K216" s="29"/>
      <c r="L216" s="11"/>
      <c r="M216" s="11"/>
      <c r="N216" s="11"/>
      <c r="O216" s="11"/>
      <c r="P216" s="11"/>
      <c r="Q216" s="11"/>
      <c r="R216" s="11"/>
      <c r="S216" s="30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F216" s="11"/>
      <c r="AG216" s="11"/>
      <c r="AH216" s="11"/>
      <c r="AK216" s="11"/>
      <c r="AL216" s="11"/>
      <c r="AM216" s="11"/>
      <c r="AP216" s="11"/>
      <c r="AQ216" s="11"/>
      <c r="AR216" s="11"/>
    </row>
    <row r="217" ht="15.75" customHeight="1">
      <c r="A217" s="9"/>
      <c r="B217" s="9"/>
      <c r="C217" s="29"/>
      <c r="D217" s="29"/>
      <c r="E217" s="29"/>
      <c r="F217" s="29"/>
      <c r="G217" s="29"/>
      <c r="H217" s="29"/>
      <c r="I217" s="29"/>
      <c r="J217" s="29"/>
      <c r="K217" s="29"/>
      <c r="L217" s="11"/>
      <c r="M217" s="11"/>
      <c r="N217" s="11"/>
      <c r="O217" s="11"/>
      <c r="P217" s="11"/>
      <c r="Q217" s="11"/>
      <c r="R217" s="11"/>
      <c r="S217" s="30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F217" s="11"/>
      <c r="AG217" s="11"/>
      <c r="AH217" s="11"/>
      <c r="AK217" s="11"/>
      <c r="AL217" s="11"/>
      <c r="AM217" s="11"/>
      <c r="AP217" s="11"/>
      <c r="AQ217" s="11"/>
      <c r="AR217" s="11"/>
    </row>
    <row r="218" ht="15.75" customHeight="1">
      <c r="A218" s="9"/>
      <c r="B218" s="9"/>
      <c r="C218" s="29"/>
      <c r="D218" s="29"/>
      <c r="E218" s="29"/>
      <c r="F218" s="29"/>
      <c r="G218" s="29"/>
      <c r="H218" s="29"/>
      <c r="I218" s="29"/>
      <c r="J218" s="29"/>
      <c r="K218" s="29"/>
      <c r="L218" s="11"/>
      <c r="M218" s="11"/>
      <c r="N218" s="11"/>
      <c r="O218" s="11"/>
      <c r="P218" s="11"/>
      <c r="Q218" s="11"/>
      <c r="R218" s="11"/>
      <c r="S218" s="30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F218" s="11"/>
      <c r="AG218" s="11"/>
      <c r="AH218" s="11"/>
      <c r="AK218" s="11"/>
      <c r="AL218" s="11"/>
      <c r="AM218" s="11"/>
      <c r="AP218" s="11"/>
      <c r="AQ218" s="11"/>
      <c r="AR218" s="11"/>
    </row>
    <row r="219" ht="15.75" customHeight="1">
      <c r="A219" s="9"/>
      <c r="B219" s="9"/>
      <c r="C219" s="29"/>
      <c r="D219" s="29"/>
      <c r="E219" s="29"/>
      <c r="F219" s="29"/>
      <c r="G219" s="29"/>
      <c r="H219" s="29"/>
      <c r="I219" s="29"/>
      <c r="J219" s="29"/>
      <c r="K219" s="29"/>
      <c r="L219" s="11"/>
      <c r="M219" s="11"/>
      <c r="N219" s="11"/>
      <c r="O219" s="11"/>
      <c r="P219" s="11"/>
      <c r="Q219" s="11"/>
      <c r="R219" s="11"/>
      <c r="S219" s="30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F219" s="11"/>
      <c r="AG219" s="11"/>
      <c r="AH219" s="11"/>
      <c r="AK219" s="11"/>
      <c r="AL219" s="11"/>
      <c r="AM219" s="11"/>
      <c r="AP219" s="11"/>
      <c r="AQ219" s="11"/>
      <c r="AR219" s="11"/>
    </row>
    <row r="220" ht="15.75" customHeight="1">
      <c r="A220" s="9"/>
      <c r="B220" s="9"/>
      <c r="C220" s="29"/>
      <c r="D220" s="29"/>
      <c r="E220" s="29"/>
      <c r="F220" s="29"/>
      <c r="G220" s="29"/>
      <c r="H220" s="29"/>
      <c r="I220" s="29"/>
      <c r="J220" s="29"/>
      <c r="K220" s="29"/>
      <c r="L220" s="11"/>
      <c r="M220" s="11"/>
      <c r="N220" s="11"/>
      <c r="O220" s="11"/>
      <c r="P220" s="11"/>
      <c r="Q220" s="11"/>
      <c r="R220" s="11"/>
      <c r="S220" s="30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F220" s="11"/>
      <c r="AG220" s="11"/>
      <c r="AH220" s="11"/>
      <c r="AK220" s="11"/>
      <c r="AL220" s="11"/>
      <c r="AM220" s="11"/>
      <c r="AP220" s="11"/>
      <c r="AQ220" s="11"/>
      <c r="AR220" s="11"/>
    </row>
    <row r="221" ht="15.75" customHeight="1">
      <c r="A221" s="9"/>
      <c r="B221" s="9"/>
      <c r="C221" s="29"/>
      <c r="D221" s="29"/>
      <c r="E221" s="29"/>
      <c r="F221" s="29"/>
      <c r="G221" s="29"/>
      <c r="H221" s="29"/>
      <c r="I221" s="29"/>
      <c r="J221" s="29"/>
      <c r="K221" s="29"/>
      <c r="L221" s="11"/>
      <c r="M221" s="11"/>
      <c r="N221" s="11"/>
      <c r="O221" s="11"/>
      <c r="P221" s="11"/>
      <c r="Q221" s="11"/>
      <c r="R221" s="11"/>
      <c r="S221" s="30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F221" s="11"/>
      <c r="AG221" s="11"/>
      <c r="AH221" s="11"/>
      <c r="AK221" s="11"/>
      <c r="AL221" s="11"/>
      <c r="AM221" s="11"/>
      <c r="AP221" s="11"/>
      <c r="AQ221" s="11"/>
      <c r="AR221" s="11"/>
    </row>
    <row r="222" ht="15.75" customHeight="1">
      <c r="A222" s="9"/>
      <c r="B222" s="9"/>
      <c r="C222" s="29"/>
      <c r="D222" s="29"/>
      <c r="E222" s="29"/>
      <c r="F222" s="29"/>
      <c r="G222" s="29"/>
      <c r="H222" s="29"/>
      <c r="I222" s="29"/>
      <c r="J222" s="29"/>
      <c r="K222" s="29"/>
      <c r="L222" s="11"/>
      <c r="M222" s="11"/>
      <c r="N222" s="11"/>
      <c r="O222" s="11"/>
      <c r="P222" s="11"/>
      <c r="Q222" s="11"/>
      <c r="R222" s="11"/>
      <c r="S222" s="3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F222" s="11"/>
      <c r="AG222" s="11"/>
      <c r="AH222" s="11"/>
      <c r="AK222" s="11"/>
      <c r="AL222" s="11"/>
      <c r="AM222" s="11"/>
      <c r="AP222" s="11"/>
      <c r="AQ222" s="11"/>
      <c r="AR222" s="11"/>
    </row>
    <row r="223" ht="15.75" customHeight="1">
      <c r="A223" s="9"/>
      <c r="B223" s="9"/>
      <c r="C223" s="29"/>
      <c r="D223" s="29"/>
      <c r="E223" s="29"/>
      <c r="F223" s="29"/>
      <c r="G223" s="29"/>
      <c r="H223" s="29"/>
      <c r="I223" s="29"/>
      <c r="J223" s="29"/>
      <c r="K223" s="29"/>
      <c r="L223" s="11"/>
      <c r="M223" s="11"/>
      <c r="N223" s="11"/>
      <c r="O223" s="11"/>
      <c r="P223" s="11"/>
      <c r="Q223" s="11"/>
      <c r="R223" s="11"/>
      <c r="S223" s="30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F223" s="11"/>
      <c r="AG223" s="11"/>
      <c r="AH223" s="11"/>
      <c r="AK223" s="11"/>
      <c r="AL223" s="11"/>
      <c r="AM223" s="11"/>
      <c r="AP223" s="11"/>
      <c r="AQ223" s="11"/>
      <c r="AR223" s="11"/>
    </row>
    <row r="224" ht="15.75" customHeight="1">
      <c r="A224" s="9"/>
      <c r="B224" s="9"/>
      <c r="C224" s="29"/>
      <c r="D224" s="29"/>
      <c r="E224" s="29"/>
      <c r="F224" s="29"/>
      <c r="G224" s="29"/>
      <c r="H224" s="29"/>
      <c r="I224" s="29"/>
      <c r="J224" s="29"/>
      <c r="K224" s="29"/>
      <c r="L224" s="11"/>
      <c r="M224" s="11"/>
      <c r="N224" s="11"/>
      <c r="O224" s="11"/>
      <c r="P224" s="11"/>
      <c r="Q224" s="11"/>
      <c r="R224" s="11"/>
      <c r="S224" s="30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F224" s="11"/>
      <c r="AG224" s="11"/>
      <c r="AH224" s="11"/>
      <c r="AK224" s="11"/>
      <c r="AL224" s="11"/>
      <c r="AM224" s="11"/>
      <c r="AP224" s="11"/>
      <c r="AQ224" s="11"/>
      <c r="AR224" s="11"/>
    </row>
    <row r="225" ht="15.75" customHeight="1">
      <c r="A225" s="9"/>
      <c r="B225" s="9"/>
      <c r="C225" s="29"/>
      <c r="D225" s="29"/>
      <c r="E225" s="29"/>
      <c r="F225" s="29"/>
      <c r="G225" s="29"/>
      <c r="H225" s="29"/>
      <c r="I225" s="29"/>
      <c r="J225" s="29"/>
      <c r="K225" s="29"/>
      <c r="L225" s="11"/>
      <c r="M225" s="11"/>
      <c r="N225" s="11"/>
      <c r="O225" s="11"/>
      <c r="P225" s="11"/>
      <c r="Q225" s="11"/>
      <c r="R225" s="11"/>
      <c r="S225" s="30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F225" s="11"/>
      <c r="AG225" s="11"/>
      <c r="AH225" s="11"/>
      <c r="AK225" s="11"/>
      <c r="AL225" s="11"/>
      <c r="AM225" s="11"/>
      <c r="AP225" s="11"/>
      <c r="AQ225" s="11"/>
      <c r="AR225" s="11"/>
    </row>
    <row r="226" ht="15.75" customHeight="1">
      <c r="A226" s="9"/>
      <c r="B226" s="9"/>
      <c r="C226" s="29"/>
      <c r="D226" s="29"/>
      <c r="E226" s="29"/>
      <c r="F226" s="29"/>
      <c r="G226" s="29"/>
      <c r="H226" s="29"/>
      <c r="I226" s="29"/>
      <c r="J226" s="29"/>
      <c r="K226" s="29"/>
      <c r="L226" s="11"/>
      <c r="M226" s="11"/>
      <c r="N226" s="11"/>
      <c r="O226" s="11"/>
      <c r="P226" s="11"/>
      <c r="Q226" s="11"/>
      <c r="R226" s="11"/>
      <c r="S226" s="30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F226" s="11"/>
      <c r="AG226" s="11"/>
      <c r="AH226" s="11"/>
      <c r="AK226" s="11"/>
      <c r="AL226" s="11"/>
      <c r="AM226" s="11"/>
      <c r="AP226" s="11"/>
      <c r="AQ226" s="11"/>
      <c r="AR226" s="11"/>
    </row>
    <row r="227" ht="15.75" customHeight="1">
      <c r="A227" s="9"/>
      <c r="B227" s="9"/>
      <c r="C227" s="29"/>
      <c r="D227" s="29"/>
      <c r="E227" s="29"/>
      <c r="F227" s="29"/>
      <c r="G227" s="29"/>
      <c r="H227" s="29"/>
      <c r="I227" s="29"/>
      <c r="J227" s="29"/>
      <c r="K227" s="29"/>
      <c r="L227" s="11"/>
      <c r="M227" s="11"/>
      <c r="N227" s="11"/>
      <c r="O227" s="11"/>
      <c r="P227" s="11"/>
      <c r="Q227" s="11"/>
      <c r="R227" s="11"/>
      <c r="S227" s="30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F227" s="11"/>
      <c r="AG227" s="11"/>
      <c r="AH227" s="11"/>
      <c r="AK227" s="11"/>
      <c r="AL227" s="11"/>
      <c r="AM227" s="11"/>
      <c r="AP227" s="11"/>
      <c r="AQ227" s="11"/>
      <c r="AR227" s="11"/>
    </row>
    <row r="228" ht="15.75" customHeight="1">
      <c r="A228" s="9"/>
      <c r="B228" s="9"/>
      <c r="C228" s="29"/>
      <c r="D228" s="29"/>
      <c r="E228" s="29"/>
      <c r="F228" s="29"/>
      <c r="G228" s="29"/>
      <c r="H228" s="29"/>
      <c r="I228" s="29"/>
      <c r="J228" s="29"/>
      <c r="K228" s="29"/>
      <c r="L228" s="11"/>
      <c r="M228" s="11"/>
      <c r="N228" s="11"/>
      <c r="O228" s="11"/>
      <c r="P228" s="11"/>
      <c r="Q228" s="11"/>
      <c r="R228" s="11"/>
      <c r="S228" s="30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F228" s="11"/>
      <c r="AG228" s="11"/>
      <c r="AH228" s="11"/>
      <c r="AK228" s="11"/>
      <c r="AL228" s="11"/>
      <c r="AM228" s="11"/>
      <c r="AP228" s="11"/>
      <c r="AQ228" s="11"/>
      <c r="AR228" s="11"/>
    </row>
    <row r="229" ht="15.75" customHeight="1">
      <c r="A229" s="9"/>
      <c r="B229" s="9"/>
      <c r="C229" s="29"/>
      <c r="D229" s="29"/>
      <c r="E229" s="29"/>
      <c r="F229" s="29"/>
      <c r="G229" s="29"/>
      <c r="H229" s="29"/>
      <c r="I229" s="29"/>
      <c r="J229" s="29"/>
      <c r="K229" s="29"/>
      <c r="L229" s="11"/>
      <c r="M229" s="11"/>
      <c r="N229" s="11"/>
      <c r="O229" s="11"/>
      <c r="P229" s="11"/>
      <c r="Q229" s="11"/>
      <c r="R229" s="11"/>
      <c r="S229" s="30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F229" s="11"/>
      <c r="AG229" s="11"/>
      <c r="AH229" s="11"/>
      <c r="AK229" s="11"/>
      <c r="AL229" s="11"/>
      <c r="AM229" s="11"/>
      <c r="AP229" s="11"/>
      <c r="AQ229" s="11"/>
      <c r="AR229" s="11"/>
    </row>
    <row r="230" ht="15.75" customHeight="1">
      <c r="A230" s="9"/>
      <c r="B230" s="9"/>
      <c r="C230" s="29"/>
      <c r="D230" s="29"/>
      <c r="E230" s="29"/>
      <c r="F230" s="29"/>
      <c r="G230" s="29"/>
      <c r="H230" s="29"/>
      <c r="I230" s="29"/>
      <c r="J230" s="29"/>
      <c r="K230" s="29"/>
      <c r="L230" s="11"/>
      <c r="M230" s="11"/>
      <c r="N230" s="11"/>
      <c r="O230" s="11"/>
      <c r="P230" s="11"/>
      <c r="Q230" s="11"/>
      <c r="R230" s="11"/>
      <c r="S230" s="30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F230" s="11"/>
      <c r="AG230" s="11"/>
      <c r="AH230" s="11"/>
      <c r="AK230" s="11"/>
      <c r="AL230" s="11"/>
      <c r="AM230" s="11"/>
      <c r="AP230" s="11"/>
      <c r="AQ230" s="11"/>
      <c r="AR230" s="11"/>
    </row>
    <row r="231" ht="15.75" customHeight="1">
      <c r="A231" s="9"/>
      <c r="B231" s="9"/>
      <c r="C231" s="29"/>
      <c r="D231" s="29"/>
      <c r="E231" s="29"/>
      <c r="F231" s="29"/>
      <c r="G231" s="29"/>
      <c r="H231" s="29"/>
      <c r="I231" s="29"/>
      <c r="J231" s="29"/>
      <c r="K231" s="29"/>
      <c r="L231" s="11"/>
      <c r="M231" s="11"/>
      <c r="N231" s="11"/>
      <c r="O231" s="11"/>
      <c r="P231" s="11"/>
      <c r="Q231" s="11"/>
      <c r="R231" s="11"/>
      <c r="S231" s="30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F231" s="11"/>
      <c r="AG231" s="11"/>
      <c r="AH231" s="11"/>
      <c r="AK231" s="11"/>
      <c r="AL231" s="11"/>
      <c r="AM231" s="11"/>
      <c r="AP231" s="11"/>
      <c r="AQ231" s="11"/>
      <c r="AR231" s="11"/>
    </row>
    <row r="232" ht="15.75" customHeight="1">
      <c r="A232" s="9"/>
      <c r="B232" s="9"/>
      <c r="C232" s="29"/>
      <c r="D232" s="29"/>
      <c r="E232" s="29"/>
      <c r="F232" s="29"/>
      <c r="G232" s="29"/>
      <c r="H232" s="29"/>
      <c r="I232" s="29"/>
      <c r="J232" s="29"/>
      <c r="K232" s="29"/>
      <c r="L232" s="11"/>
      <c r="M232" s="11"/>
      <c r="N232" s="11"/>
      <c r="O232" s="11"/>
      <c r="P232" s="11"/>
      <c r="Q232" s="11"/>
      <c r="R232" s="11"/>
      <c r="S232" s="30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F232" s="11"/>
      <c r="AG232" s="11"/>
      <c r="AH232" s="11"/>
      <c r="AK232" s="11"/>
      <c r="AL232" s="11"/>
      <c r="AM232" s="11"/>
      <c r="AP232" s="11"/>
      <c r="AQ232" s="11"/>
      <c r="AR232" s="11"/>
    </row>
    <row r="233" ht="15.75" customHeight="1">
      <c r="A233" s="9"/>
      <c r="B233" s="9"/>
      <c r="C233" s="29"/>
      <c r="D233" s="29"/>
      <c r="E233" s="29"/>
      <c r="F233" s="29"/>
      <c r="G233" s="29"/>
      <c r="H233" s="29"/>
      <c r="I233" s="29"/>
      <c r="J233" s="29"/>
      <c r="K233" s="29"/>
      <c r="L233" s="11"/>
      <c r="M233" s="11"/>
      <c r="N233" s="11"/>
      <c r="O233" s="11"/>
      <c r="P233" s="11"/>
      <c r="Q233" s="11"/>
      <c r="R233" s="11"/>
      <c r="S233" s="30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F233" s="11"/>
      <c r="AG233" s="11"/>
      <c r="AH233" s="11"/>
      <c r="AK233" s="11"/>
      <c r="AL233" s="11"/>
      <c r="AM233" s="11"/>
      <c r="AP233" s="11"/>
      <c r="AQ233" s="11"/>
      <c r="AR233" s="11"/>
    </row>
    <row r="234" ht="15.75" customHeight="1">
      <c r="A234" s="9"/>
      <c r="B234" s="9"/>
      <c r="C234" s="29"/>
      <c r="D234" s="29"/>
      <c r="E234" s="29"/>
      <c r="F234" s="29"/>
      <c r="G234" s="29"/>
      <c r="H234" s="29"/>
      <c r="I234" s="29"/>
      <c r="J234" s="29"/>
      <c r="K234" s="29"/>
      <c r="L234" s="11"/>
      <c r="M234" s="11"/>
      <c r="N234" s="11"/>
      <c r="O234" s="11"/>
      <c r="P234" s="11"/>
      <c r="Q234" s="11"/>
      <c r="R234" s="11"/>
      <c r="S234" s="30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F234" s="11"/>
      <c r="AG234" s="11"/>
      <c r="AH234" s="11"/>
      <c r="AK234" s="11"/>
      <c r="AL234" s="11"/>
      <c r="AM234" s="11"/>
      <c r="AP234" s="11"/>
      <c r="AQ234" s="11"/>
      <c r="AR234" s="11"/>
    </row>
    <row r="235" ht="15.75" customHeight="1">
      <c r="A235" s="9"/>
      <c r="B235" s="9"/>
      <c r="C235" s="29"/>
      <c r="D235" s="29"/>
      <c r="E235" s="29"/>
      <c r="F235" s="29"/>
      <c r="G235" s="29"/>
      <c r="H235" s="29"/>
      <c r="I235" s="29"/>
      <c r="J235" s="29"/>
      <c r="K235" s="29"/>
      <c r="L235" s="11"/>
      <c r="M235" s="11"/>
      <c r="N235" s="11"/>
      <c r="O235" s="11"/>
      <c r="P235" s="11"/>
      <c r="Q235" s="11"/>
      <c r="R235" s="11"/>
      <c r="S235" s="30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F235" s="11"/>
      <c r="AG235" s="11"/>
      <c r="AH235" s="11"/>
      <c r="AK235" s="11"/>
      <c r="AL235" s="11"/>
      <c r="AM235" s="11"/>
      <c r="AP235" s="11"/>
      <c r="AQ235" s="11"/>
      <c r="AR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F236" s="11"/>
      <c r="AG236" s="11"/>
      <c r="AH236" s="11"/>
      <c r="AK236" s="11"/>
      <c r="AL236" s="11"/>
      <c r="AM236" s="11"/>
      <c r="AP236" s="11"/>
      <c r="AQ236" s="11"/>
      <c r="AR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F237" s="11"/>
      <c r="AG237" s="11"/>
      <c r="AH237" s="11"/>
      <c r="AK237" s="11"/>
      <c r="AL237" s="11"/>
      <c r="AM237" s="11"/>
      <c r="AP237" s="11"/>
      <c r="AQ237" s="11"/>
      <c r="AR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F238" s="11"/>
      <c r="AG238" s="11"/>
      <c r="AH238" s="11"/>
      <c r="AK238" s="11"/>
      <c r="AL238" s="11"/>
      <c r="AM238" s="11"/>
      <c r="AP238" s="11"/>
      <c r="AQ238" s="11"/>
      <c r="AR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F239" s="11"/>
      <c r="AG239" s="11"/>
      <c r="AH239" s="11"/>
      <c r="AK239" s="11"/>
      <c r="AL239" s="11"/>
      <c r="AM239" s="11"/>
      <c r="AP239" s="11"/>
      <c r="AQ239" s="11"/>
      <c r="AR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F240" s="11"/>
      <c r="AG240" s="11"/>
      <c r="AH240" s="11"/>
      <c r="AK240" s="11"/>
      <c r="AL240" s="11"/>
      <c r="AM240" s="11"/>
      <c r="AP240" s="11"/>
      <c r="AQ240" s="11"/>
      <c r="AR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F241" s="11"/>
      <c r="AG241" s="11"/>
      <c r="AH241" s="11"/>
      <c r="AK241" s="11"/>
      <c r="AL241" s="11"/>
      <c r="AM241" s="11"/>
      <c r="AP241" s="11"/>
      <c r="AQ241" s="11"/>
      <c r="AR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F242" s="11"/>
      <c r="AG242" s="11"/>
      <c r="AH242" s="11"/>
      <c r="AK242" s="11"/>
      <c r="AL242" s="11"/>
      <c r="AM242" s="11"/>
      <c r="AP242" s="11"/>
      <c r="AQ242" s="11"/>
      <c r="AR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F243" s="11"/>
      <c r="AG243" s="11"/>
      <c r="AH243" s="11"/>
      <c r="AK243" s="11"/>
      <c r="AL243" s="11"/>
      <c r="AM243" s="11"/>
      <c r="AP243" s="11"/>
      <c r="AQ243" s="11"/>
      <c r="AR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F244" s="11"/>
      <c r="AG244" s="11"/>
      <c r="AH244" s="11"/>
      <c r="AK244" s="11"/>
      <c r="AL244" s="11"/>
      <c r="AM244" s="11"/>
      <c r="AP244" s="11"/>
      <c r="AQ244" s="11"/>
      <c r="AR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F245" s="11"/>
      <c r="AG245" s="11"/>
      <c r="AH245" s="11"/>
      <c r="AK245" s="11"/>
      <c r="AL245" s="11"/>
      <c r="AM245" s="11"/>
      <c r="AP245" s="11"/>
      <c r="AQ245" s="11"/>
      <c r="AR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F246" s="11"/>
      <c r="AG246" s="11"/>
      <c r="AH246" s="11"/>
      <c r="AK246" s="11"/>
      <c r="AL246" s="11"/>
      <c r="AM246" s="11"/>
      <c r="AP246" s="11"/>
      <c r="AQ246" s="11"/>
      <c r="AR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F247" s="11"/>
      <c r="AG247" s="11"/>
      <c r="AH247" s="11"/>
      <c r="AK247" s="11"/>
      <c r="AL247" s="11"/>
      <c r="AM247" s="11"/>
      <c r="AP247" s="11"/>
      <c r="AQ247" s="11"/>
      <c r="AR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F248" s="11"/>
      <c r="AG248" s="11"/>
      <c r="AH248" s="11"/>
      <c r="AK248" s="11"/>
      <c r="AL248" s="11"/>
      <c r="AM248" s="11"/>
      <c r="AP248" s="11"/>
      <c r="AQ248" s="11"/>
      <c r="AR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F249" s="11"/>
      <c r="AG249" s="11"/>
      <c r="AH249" s="11"/>
      <c r="AK249" s="11"/>
      <c r="AL249" s="11"/>
      <c r="AM249" s="11"/>
      <c r="AP249" s="11"/>
      <c r="AQ249" s="11"/>
      <c r="AR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F250" s="11"/>
      <c r="AG250" s="11"/>
      <c r="AH250" s="11"/>
      <c r="AK250" s="11"/>
      <c r="AL250" s="11"/>
      <c r="AM250" s="11"/>
      <c r="AP250" s="11"/>
      <c r="AQ250" s="11"/>
      <c r="AR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F251" s="11"/>
      <c r="AG251" s="11"/>
      <c r="AH251" s="11"/>
      <c r="AK251" s="11"/>
      <c r="AL251" s="11"/>
      <c r="AM251" s="11"/>
      <c r="AP251" s="11"/>
      <c r="AQ251" s="11"/>
      <c r="AR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F252" s="11"/>
      <c r="AG252" s="11"/>
      <c r="AH252" s="11"/>
      <c r="AK252" s="11"/>
      <c r="AL252" s="11"/>
      <c r="AM252" s="11"/>
      <c r="AP252" s="11"/>
      <c r="AQ252" s="11"/>
      <c r="AR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F253" s="11"/>
      <c r="AG253" s="11"/>
      <c r="AH253" s="11"/>
      <c r="AK253" s="11"/>
      <c r="AL253" s="11"/>
      <c r="AM253" s="11"/>
      <c r="AP253" s="11"/>
      <c r="AQ253" s="11"/>
      <c r="AR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F254" s="11"/>
      <c r="AG254" s="11"/>
      <c r="AH254" s="11"/>
      <c r="AK254" s="11"/>
      <c r="AL254" s="11"/>
      <c r="AM254" s="11"/>
      <c r="AP254" s="11"/>
      <c r="AQ254" s="11"/>
      <c r="AR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F255" s="11"/>
      <c r="AG255" s="11"/>
      <c r="AH255" s="11"/>
      <c r="AK255" s="11"/>
      <c r="AL255" s="11"/>
      <c r="AM255" s="11"/>
      <c r="AP255" s="11"/>
      <c r="AQ255" s="11"/>
      <c r="AR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F256" s="11"/>
      <c r="AG256" s="11"/>
      <c r="AH256" s="11"/>
      <c r="AK256" s="11"/>
      <c r="AL256" s="11"/>
      <c r="AM256" s="11"/>
      <c r="AP256" s="11"/>
      <c r="AQ256" s="11"/>
      <c r="AR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F257" s="11"/>
      <c r="AG257" s="11"/>
      <c r="AH257" s="11"/>
      <c r="AK257" s="11"/>
      <c r="AL257" s="11"/>
      <c r="AM257" s="11"/>
      <c r="AP257" s="11"/>
      <c r="AQ257" s="11"/>
      <c r="AR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F258" s="11"/>
      <c r="AG258" s="11"/>
      <c r="AH258" s="11"/>
      <c r="AK258" s="11"/>
      <c r="AL258" s="11"/>
      <c r="AM258" s="11"/>
      <c r="AP258" s="11"/>
      <c r="AQ258" s="11"/>
      <c r="AR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F259" s="11"/>
      <c r="AG259" s="11"/>
      <c r="AH259" s="11"/>
      <c r="AK259" s="11"/>
      <c r="AL259" s="11"/>
      <c r="AM259" s="11"/>
      <c r="AP259" s="11"/>
      <c r="AQ259" s="11"/>
      <c r="AR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F260" s="11"/>
      <c r="AG260" s="11"/>
      <c r="AH260" s="11"/>
      <c r="AK260" s="11"/>
      <c r="AL260" s="11"/>
      <c r="AM260" s="11"/>
      <c r="AP260" s="11"/>
      <c r="AQ260" s="11"/>
      <c r="AR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F261" s="11"/>
      <c r="AG261" s="11"/>
      <c r="AH261" s="11"/>
      <c r="AK261" s="11"/>
      <c r="AL261" s="11"/>
      <c r="AM261" s="11"/>
      <c r="AP261" s="11"/>
      <c r="AQ261" s="11"/>
      <c r="AR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F262" s="11"/>
      <c r="AG262" s="11"/>
      <c r="AH262" s="11"/>
      <c r="AK262" s="11"/>
      <c r="AL262" s="11"/>
      <c r="AM262" s="11"/>
      <c r="AP262" s="11"/>
      <c r="AQ262" s="11"/>
      <c r="AR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F263" s="11"/>
      <c r="AG263" s="11"/>
      <c r="AH263" s="11"/>
      <c r="AK263" s="11"/>
      <c r="AL263" s="11"/>
      <c r="AM263" s="11"/>
      <c r="AP263" s="11"/>
      <c r="AQ263" s="11"/>
      <c r="AR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F264" s="11"/>
      <c r="AG264" s="11"/>
      <c r="AH264" s="11"/>
      <c r="AK264" s="11"/>
      <c r="AL264" s="11"/>
      <c r="AM264" s="11"/>
      <c r="AP264" s="11"/>
      <c r="AQ264" s="11"/>
      <c r="AR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F265" s="11"/>
      <c r="AG265" s="11"/>
      <c r="AH265" s="11"/>
      <c r="AK265" s="11"/>
      <c r="AL265" s="11"/>
      <c r="AM265" s="11"/>
      <c r="AP265" s="11"/>
      <c r="AQ265" s="11"/>
      <c r="AR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F266" s="11"/>
      <c r="AG266" s="11"/>
      <c r="AH266" s="11"/>
      <c r="AK266" s="11"/>
      <c r="AL266" s="11"/>
      <c r="AM266" s="11"/>
      <c r="AP266" s="11"/>
      <c r="AQ266" s="11"/>
      <c r="AR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F267" s="11"/>
      <c r="AG267" s="11"/>
      <c r="AH267" s="11"/>
      <c r="AK267" s="11"/>
      <c r="AL267" s="11"/>
      <c r="AM267" s="11"/>
      <c r="AP267" s="11"/>
      <c r="AQ267" s="11"/>
      <c r="AR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F268" s="11"/>
      <c r="AG268" s="11"/>
      <c r="AH268" s="11"/>
      <c r="AK268" s="11"/>
      <c r="AL268" s="11"/>
      <c r="AM268" s="11"/>
      <c r="AP268" s="11"/>
      <c r="AQ268" s="11"/>
      <c r="AR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F269" s="11"/>
      <c r="AG269" s="11"/>
      <c r="AH269" s="11"/>
      <c r="AK269" s="11"/>
      <c r="AL269" s="11"/>
      <c r="AM269" s="11"/>
      <c r="AP269" s="11"/>
      <c r="AQ269" s="11"/>
      <c r="AR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F270" s="11"/>
      <c r="AG270" s="11"/>
      <c r="AH270" s="11"/>
      <c r="AK270" s="11"/>
      <c r="AL270" s="11"/>
      <c r="AM270" s="11"/>
      <c r="AP270" s="11"/>
      <c r="AQ270" s="11"/>
      <c r="AR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F271" s="11"/>
      <c r="AG271" s="11"/>
      <c r="AH271" s="11"/>
      <c r="AK271" s="11"/>
      <c r="AL271" s="11"/>
      <c r="AM271" s="11"/>
      <c r="AP271" s="11"/>
      <c r="AQ271" s="11"/>
      <c r="AR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F272" s="11"/>
      <c r="AG272" s="11"/>
      <c r="AH272" s="11"/>
      <c r="AK272" s="11"/>
      <c r="AL272" s="11"/>
      <c r="AM272" s="11"/>
      <c r="AP272" s="11"/>
      <c r="AQ272" s="11"/>
      <c r="AR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F273" s="11"/>
      <c r="AG273" s="11"/>
      <c r="AH273" s="11"/>
      <c r="AK273" s="11"/>
      <c r="AL273" s="11"/>
      <c r="AM273" s="11"/>
      <c r="AP273" s="11"/>
      <c r="AQ273" s="11"/>
      <c r="AR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F274" s="11"/>
      <c r="AG274" s="11"/>
      <c r="AH274" s="11"/>
      <c r="AK274" s="11"/>
      <c r="AL274" s="11"/>
      <c r="AM274" s="11"/>
      <c r="AP274" s="11"/>
      <c r="AQ274" s="11"/>
      <c r="AR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F275" s="11"/>
      <c r="AG275" s="11"/>
      <c r="AH275" s="11"/>
      <c r="AK275" s="11"/>
      <c r="AL275" s="11"/>
      <c r="AM275" s="11"/>
      <c r="AP275" s="11"/>
      <c r="AQ275" s="11"/>
      <c r="AR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F276" s="11"/>
      <c r="AG276" s="11"/>
      <c r="AH276" s="11"/>
      <c r="AK276" s="11"/>
      <c r="AL276" s="11"/>
      <c r="AM276" s="11"/>
      <c r="AP276" s="11"/>
      <c r="AQ276" s="11"/>
      <c r="AR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F277" s="11"/>
      <c r="AG277" s="11"/>
      <c r="AH277" s="11"/>
      <c r="AK277" s="11"/>
      <c r="AL277" s="11"/>
      <c r="AM277" s="11"/>
      <c r="AP277" s="11"/>
      <c r="AQ277" s="11"/>
      <c r="AR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F278" s="11"/>
      <c r="AG278" s="11"/>
      <c r="AH278" s="11"/>
      <c r="AK278" s="11"/>
      <c r="AL278" s="11"/>
      <c r="AM278" s="11"/>
      <c r="AP278" s="11"/>
      <c r="AQ278" s="11"/>
      <c r="AR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F279" s="11"/>
      <c r="AG279" s="11"/>
      <c r="AH279" s="11"/>
      <c r="AK279" s="11"/>
      <c r="AL279" s="11"/>
      <c r="AM279" s="11"/>
      <c r="AP279" s="11"/>
      <c r="AQ279" s="11"/>
      <c r="AR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F280" s="11"/>
      <c r="AG280" s="11"/>
      <c r="AH280" s="11"/>
      <c r="AK280" s="11"/>
      <c r="AL280" s="11"/>
      <c r="AM280" s="11"/>
      <c r="AP280" s="11"/>
      <c r="AQ280" s="11"/>
      <c r="AR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F281" s="11"/>
      <c r="AG281" s="11"/>
      <c r="AH281" s="11"/>
      <c r="AK281" s="11"/>
      <c r="AL281" s="11"/>
      <c r="AM281" s="11"/>
      <c r="AP281" s="11"/>
      <c r="AQ281" s="11"/>
      <c r="AR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F282" s="11"/>
      <c r="AG282" s="11"/>
      <c r="AH282" s="11"/>
      <c r="AK282" s="11"/>
      <c r="AL282" s="11"/>
      <c r="AM282" s="11"/>
      <c r="AP282" s="11"/>
      <c r="AQ282" s="11"/>
      <c r="AR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F283" s="11"/>
      <c r="AG283" s="11"/>
      <c r="AH283" s="11"/>
      <c r="AK283" s="11"/>
      <c r="AL283" s="11"/>
      <c r="AM283" s="11"/>
      <c r="AP283" s="11"/>
      <c r="AQ283" s="11"/>
      <c r="AR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F284" s="11"/>
      <c r="AG284" s="11"/>
      <c r="AH284" s="11"/>
      <c r="AK284" s="11"/>
      <c r="AL284" s="11"/>
      <c r="AM284" s="11"/>
      <c r="AP284" s="11"/>
      <c r="AQ284" s="11"/>
      <c r="AR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F285" s="11"/>
      <c r="AG285" s="11"/>
      <c r="AH285" s="11"/>
      <c r="AK285" s="11"/>
      <c r="AL285" s="11"/>
      <c r="AM285" s="11"/>
      <c r="AP285" s="11"/>
      <c r="AQ285" s="11"/>
      <c r="AR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F286" s="11"/>
      <c r="AG286" s="11"/>
      <c r="AH286" s="11"/>
      <c r="AK286" s="11"/>
      <c r="AL286" s="11"/>
      <c r="AM286" s="11"/>
      <c r="AP286" s="11"/>
      <c r="AQ286" s="11"/>
      <c r="AR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F287" s="11"/>
      <c r="AG287" s="11"/>
      <c r="AH287" s="11"/>
      <c r="AK287" s="11"/>
      <c r="AL287" s="11"/>
      <c r="AM287" s="11"/>
      <c r="AP287" s="11"/>
      <c r="AQ287" s="11"/>
      <c r="AR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F288" s="11"/>
      <c r="AG288" s="11"/>
      <c r="AH288" s="11"/>
      <c r="AK288" s="11"/>
      <c r="AL288" s="11"/>
      <c r="AM288" s="11"/>
      <c r="AP288" s="11"/>
      <c r="AQ288" s="11"/>
      <c r="AR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F289" s="11"/>
      <c r="AG289" s="11"/>
      <c r="AH289" s="11"/>
      <c r="AK289" s="11"/>
      <c r="AL289" s="11"/>
      <c r="AM289" s="11"/>
      <c r="AP289" s="11"/>
      <c r="AQ289" s="11"/>
      <c r="AR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F290" s="11"/>
      <c r="AG290" s="11"/>
      <c r="AH290" s="11"/>
      <c r="AK290" s="11"/>
      <c r="AL290" s="11"/>
      <c r="AM290" s="11"/>
      <c r="AP290" s="11"/>
      <c r="AQ290" s="11"/>
      <c r="AR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F291" s="11"/>
      <c r="AG291" s="11"/>
      <c r="AH291" s="11"/>
      <c r="AK291" s="11"/>
      <c r="AL291" s="11"/>
      <c r="AM291" s="11"/>
      <c r="AP291" s="11"/>
      <c r="AQ291" s="11"/>
      <c r="AR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F292" s="11"/>
      <c r="AG292" s="11"/>
      <c r="AH292" s="11"/>
      <c r="AK292" s="11"/>
      <c r="AL292" s="11"/>
      <c r="AM292" s="11"/>
      <c r="AP292" s="11"/>
      <c r="AQ292" s="11"/>
      <c r="AR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F293" s="11"/>
      <c r="AG293" s="11"/>
      <c r="AH293" s="11"/>
      <c r="AK293" s="11"/>
      <c r="AL293" s="11"/>
      <c r="AM293" s="11"/>
      <c r="AP293" s="11"/>
      <c r="AQ293" s="11"/>
      <c r="AR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F294" s="11"/>
      <c r="AG294" s="11"/>
      <c r="AH294" s="11"/>
      <c r="AK294" s="11"/>
      <c r="AL294" s="11"/>
      <c r="AM294" s="11"/>
      <c r="AP294" s="11"/>
      <c r="AQ294" s="11"/>
      <c r="AR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F295" s="11"/>
      <c r="AG295" s="11"/>
      <c r="AH295" s="11"/>
      <c r="AK295" s="11"/>
      <c r="AL295" s="11"/>
      <c r="AM295" s="11"/>
      <c r="AP295" s="11"/>
      <c r="AQ295" s="11"/>
      <c r="AR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F296" s="11"/>
      <c r="AG296" s="11"/>
      <c r="AH296" s="11"/>
      <c r="AK296" s="11"/>
      <c r="AL296" s="11"/>
      <c r="AM296" s="11"/>
      <c r="AP296" s="11"/>
      <c r="AQ296" s="11"/>
      <c r="AR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F297" s="11"/>
      <c r="AG297" s="11"/>
      <c r="AH297" s="11"/>
      <c r="AK297" s="11"/>
      <c r="AL297" s="11"/>
      <c r="AM297" s="11"/>
      <c r="AP297" s="11"/>
      <c r="AQ297" s="11"/>
      <c r="AR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F298" s="11"/>
      <c r="AG298" s="11"/>
      <c r="AH298" s="11"/>
      <c r="AK298" s="11"/>
      <c r="AL298" s="11"/>
      <c r="AM298" s="11"/>
      <c r="AP298" s="11"/>
      <c r="AQ298" s="11"/>
      <c r="AR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F299" s="11"/>
      <c r="AG299" s="11"/>
      <c r="AH299" s="11"/>
      <c r="AK299" s="11"/>
      <c r="AL299" s="11"/>
      <c r="AM299" s="11"/>
      <c r="AP299" s="11"/>
      <c r="AQ299" s="11"/>
      <c r="AR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F300" s="11"/>
      <c r="AG300" s="11"/>
      <c r="AH300" s="11"/>
      <c r="AK300" s="11"/>
      <c r="AL300" s="11"/>
      <c r="AM300" s="11"/>
      <c r="AP300" s="11"/>
      <c r="AQ300" s="11"/>
      <c r="AR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F301" s="11"/>
      <c r="AG301" s="11"/>
      <c r="AH301" s="11"/>
      <c r="AK301" s="11"/>
      <c r="AL301" s="11"/>
      <c r="AM301" s="11"/>
      <c r="AP301" s="11"/>
      <c r="AQ301" s="11"/>
      <c r="AR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F302" s="11"/>
      <c r="AG302" s="11"/>
      <c r="AH302" s="11"/>
      <c r="AK302" s="11"/>
      <c r="AL302" s="11"/>
      <c r="AM302" s="11"/>
      <c r="AP302" s="11"/>
      <c r="AQ302" s="11"/>
      <c r="AR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F303" s="11"/>
      <c r="AG303" s="11"/>
      <c r="AH303" s="11"/>
      <c r="AK303" s="11"/>
      <c r="AL303" s="11"/>
      <c r="AM303" s="11"/>
      <c r="AP303" s="11"/>
      <c r="AQ303" s="11"/>
      <c r="AR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F304" s="11"/>
      <c r="AG304" s="11"/>
      <c r="AH304" s="11"/>
      <c r="AK304" s="11"/>
      <c r="AL304" s="11"/>
      <c r="AM304" s="11"/>
      <c r="AP304" s="11"/>
      <c r="AQ304" s="11"/>
      <c r="AR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F305" s="11"/>
      <c r="AG305" s="11"/>
      <c r="AH305" s="11"/>
      <c r="AK305" s="11"/>
      <c r="AL305" s="11"/>
      <c r="AM305" s="11"/>
      <c r="AP305" s="11"/>
      <c r="AQ305" s="11"/>
      <c r="AR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F306" s="11"/>
      <c r="AG306" s="11"/>
      <c r="AH306" s="11"/>
      <c r="AK306" s="11"/>
      <c r="AL306" s="11"/>
      <c r="AM306" s="11"/>
      <c r="AP306" s="11"/>
      <c r="AQ306" s="11"/>
      <c r="AR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F307" s="11"/>
      <c r="AG307" s="11"/>
      <c r="AH307" s="11"/>
      <c r="AK307" s="11"/>
      <c r="AL307" s="11"/>
      <c r="AM307" s="11"/>
      <c r="AP307" s="11"/>
      <c r="AQ307" s="11"/>
      <c r="AR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F308" s="11"/>
      <c r="AG308" s="11"/>
      <c r="AH308" s="11"/>
      <c r="AK308" s="11"/>
      <c r="AL308" s="11"/>
      <c r="AM308" s="11"/>
      <c r="AP308" s="11"/>
      <c r="AQ308" s="11"/>
      <c r="AR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F309" s="11"/>
      <c r="AG309" s="11"/>
      <c r="AH309" s="11"/>
      <c r="AK309" s="11"/>
      <c r="AL309" s="11"/>
      <c r="AM309" s="11"/>
      <c r="AP309" s="11"/>
      <c r="AQ309" s="11"/>
      <c r="AR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F310" s="11"/>
      <c r="AG310" s="11"/>
      <c r="AH310" s="11"/>
      <c r="AK310" s="11"/>
      <c r="AL310" s="11"/>
      <c r="AM310" s="11"/>
      <c r="AP310" s="11"/>
      <c r="AQ310" s="11"/>
      <c r="AR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F311" s="11"/>
      <c r="AG311" s="11"/>
      <c r="AH311" s="11"/>
      <c r="AK311" s="11"/>
      <c r="AL311" s="11"/>
      <c r="AM311" s="11"/>
      <c r="AP311" s="11"/>
      <c r="AQ311" s="11"/>
      <c r="AR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F312" s="11"/>
      <c r="AG312" s="11"/>
      <c r="AH312" s="11"/>
      <c r="AK312" s="11"/>
      <c r="AL312" s="11"/>
      <c r="AM312" s="11"/>
      <c r="AP312" s="11"/>
      <c r="AQ312" s="11"/>
      <c r="AR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F313" s="11"/>
      <c r="AG313" s="11"/>
      <c r="AH313" s="11"/>
      <c r="AK313" s="11"/>
      <c r="AL313" s="11"/>
      <c r="AM313" s="11"/>
      <c r="AP313" s="11"/>
      <c r="AQ313" s="11"/>
      <c r="AR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F314" s="11"/>
      <c r="AG314" s="11"/>
      <c r="AH314" s="11"/>
      <c r="AK314" s="11"/>
      <c r="AL314" s="11"/>
      <c r="AM314" s="11"/>
      <c r="AP314" s="11"/>
      <c r="AQ314" s="11"/>
      <c r="AR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F315" s="11"/>
      <c r="AG315" s="11"/>
      <c r="AH315" s="11"/>
      <c r="AK315" s="11"/>
      <c r="AL315" s="11"/>
      <c r="AM315" s="11"/>
      <c r="AP315" s="11"/>
      <c r="AQ315" s="11"/>
      <c r="AR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F316" s="11"/>
      <c r="AG316" s="11"/>
      <c r="AH316" s="11"/>
      <c r="AK316" s="11"/>
      <c r="AL316" s="11"/>
      <c r="AM316" s="11"/>
      <c r="AP316" s="11"/>
      <c r="AQ316" s="11"/>
      <c r="AR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F317" s="11"/>
      <c r="AG317" s="11"/>
      <c r="AH317" s="11"/>
      <c r="AK317" s="11"/>
      <c r="AL317" s="11"/>
      <c r="AM317" s="11"/>
      <c r="AP317" s="11"/>
      <c r="AQ317" s="11"/>
      <c r="AR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F318" s="11"/>
      <c r="AG318" s="11"/>
      <c r="AH318" s="11"/>
      <c r="AK318" s="11"/>
      <c r="AL318" s="11"/>
      <c r="AM318" s="11"/>
      <c r="AP318" s="11"/>
      <c r="AQ318" s="11"/>
      <c r="AR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F319" s="11"/>
      <c r="AG319" s="11"/>
      <c r="AH319" s="11"/>
      <c r="AK319" s="11"/>
      <c r="AL319" s="11"/>
      <c r="AM319" s="11"/>
      <c r="AP319" s="11"/>
      <c r="AQ319" s="11"/>
      <c r="AR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F320" s="11"/>
      <c r="AG320" s="11"/>
      <c r="AH320" s="11"/>
      <c r="AK320" s="11"/>
      <c r="AL320" s="11"/>
      <c r="AM320" s="11"/>
      <c r="AP320" s="11"/>
      <c r="AQ320" s="11"/>
      <c r="AR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F321" s="11"/>
      <c r="AG321" s="11"/>
      <c r="AH321" s="11"/>
      <c r="AK321" s="11"/>
      <c r="AL321" s="11"/>
      <c r="AM321" s="11"/>
      <c r="AP321" s="11"/>
      <c r="AQ321" s="11"/>
      <c r="AR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F322" s="11"/>
      <c r="AG322" s="11"/>
      <c r="AH322" s="11"/>
      <c r="AK322" s="11"/>
      <c r="AL322" s="11"/>
      <c r="AM322" s="11"/>
      <c r="AP322" s="11"/>
      <c r="AQ322" s="11"/>
      <c r="AR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F323" s="11"/>
      <c r="AG323" s="11"/>
      <c r="AH323" s="11"/>
      <c r="AK323" s="11"/>
      <c r="AL323" s="11"/>
      <c r="AM323" s="11"/>
      <c r="AP323" s="11"/>
      <c r="AQ323" s="11"/>
      <c r="AR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F324" s="11"/>
      <c r="AG324" s="11"/>
      <c r="AH324" s="11"/>
      <c r="AK324" s="11"/>
      <c r="AL324" s="11"/>
      <c r="AM324" s="11"/>
      <c r="AP324" s="11"/>
      <c r="AQ324" s="11"/>
      <c r="AR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F325" s="11"/>
      <c r="AG325" s="11"/>
      <c r="AH325" s="11"/>
      <c r="AK325" s="11"/>
      <c r="AL325" s="11"/>
      <c r="AM325" s="11"/>
      <c r="AP325" s="11"/>
      <c r="AQ325" s="11"/>
      <c r="AR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F326" s="11"/>
      <c r="AG326" s="11"/>
      <c r="AH326" s="11"/>
      <c r="AK326" s="11"/>
      <c r="AL326" s="11"/>
      <c r="AM326" s="11"/>
      <c r="AP326" s="11"/>
      <c r="AQ326" s="11"/>
      <c r="AR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F327" s="11"/>
      <c r="AG327" s="11"/>
      <c r="AH327" s="11"/>
      <c r="AK327" s="11"/>
      <c r="AL327" s="11"/>
      <c r="AM327" s="11"/>
      <c r="AP327" s="11"/>
      <c r="AQ327" s="11"/>
      <c r="AR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F328" s="11"/>
      <c r="AG328" s="11"/>
      <c r="AH328" s="11"/>
      <c r="AK328" s="11"/>
      <c r="AL328" s="11"/>
      <c r="AM328" s="11"/>
      <c r="AP328" s="11"/>
      <c r="AQ328" s="11"/>
      <c r="AR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F329" s="11"/>
      <c r="AG329" s="11"/>
      <c r="AH329" s="11"/>
      <c r="AK329" s="11"/>
      <c r="AL329" s="11"/>
      <c r="AM329" s="11"/>
      <c r="AP329" s="11"/>
      <c r="AQ329" s="11"/>
      <c r="AR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F330" s="11"/>
      <c r="AG330" s="11"/>
      <c r="AH330" s="11"/>
      <c r="AK330" s="11"/>
      <c r="AL330" s="11"/>
      <c r="AM330" s="11"/>
      <c r="AP330" s="11"/>
      <c r="AQ330" s="11"/>
      <c r="AR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F331" s="11"/>
      <c r="AG331" s="11"/>
      <c r="AH331" s="11"/>
      <c r="AK331" s="11"/>
      <c r="AL331" s="11"/>
      <c r="AM331" s="11"/>
      <c r="AP331" s="11"/>
      <c r="AQ331" s="11"/>
      <c r="AR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F332" s="11"/>
      <c r="AG332" s="11"/>
      <c r="AH332" s="11"/>
      <c r="AK332" s="11"/>
      <c r="AL332" s="11"/>
      <c r="AM332" s="11"/>
      <c r="AP332" s="11"/>
      <c r="AQ332" s="11"/>
      <c r="AR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F333" s="11"/>
      <c r="AG333" s="11"/>
      <c r="AH333" s="11"/>
      <c r="AK333" s="11"/>
      <c r="AL333" s="11"/>
      <c r="AM333" s="11"/>
      <c r="AP333" s="11"/>
      <c r="AQ333" s="11"/>
      <c r="AR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F334" s="11"/>
      <c r="AG334" s="11"/>
      <c r="AH334" s="11"/>
      <c r="AK334" s="11"/>
      <c r="AL334" s="11"/>
      <c r="AM334" s="11"/>
      <c r="AP334" s="11"/>
      <c r="AQ334" s="11"/>
      <c r="AR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F335" s="11"/>
      <c r="AG335" s="11"/>
      <c r="AH335" s="11"/>
      <c r="AK335" s="11"/>
      <c r="AL335" s="11"/>
      <c r="AM335" s="11"/>
      <c r="AP335" s="11"/>
      <c r="AQ335" s="11"/>
      <c r="AR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F336" s="11"/>
      <c r="AG336" s="11"/>
      <c r="AH336" s="11"/>
      <c r="AK336" s="11"/>
      <c r="AL336" s="11"/>
      <c r="AM336" s="11"/>
      <c r="AP336" s="11"/>
      <c r="AQ336" s="11"/>
      <c r="AR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F337" s="11"/>
      <c r="AG337" s="11"/>
      <c r="AH337" s="11"/>
      <c r="AK337" s="11"/>
      <c r="AL337" s="11"/>
      <c r="AM337" s="11"/>
      <c r="AP337" s="11"/>
      <c r="AQ337" s="11"/>
      <c r="AR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F338" s="11"/>
      <c r="AG338" s="11"/>
      <c r="AH338" s="11"/>
      <c r="AK338" s="11"/>
      <c r="AL338" s="11"/>
      <c r="AM338" s="11"/>
      <c r="AP338" s="11"/>
      <c r="AQ338" s="11"/>
      <c r="AR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F339" s="11"/>
      <c r="AG339" s="11"/>
      <c r="AH339" s="11"/>
      <c r="AK339" s="11"/>
      <c r="AL339" s="11"/>
      <c r="AM339" s="11"/>
      <c r="AP339" s="11"/>
      <c r="AQ339" s="11"/>
      <c r="AR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F340" s="11"/>
      <c r="AG340" s="11"/>
      <c r="AH340" s="11"/>
      <c r="AK340" s="11"/>
      <c r="AL340" s="11"/>
      <c r="AM340" s="11"/>
      <c r="AP340" s="11"/>
      <c r="AQ340" s="11"/>
      <c r="AR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F341" s="11"/>
      <c r="AG341" s="11"/>
      <c r="AH341" s="11"/>
      <c r="AK341" s="11"/>
      <c r="AL341" s="11"/>
      <c r="AM341" s="11"/>
      <c r="AP341" s="11"/>
      <c r="AQ341" s="11"/>
      <c r="AR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F342" s="11"/>
      <c r="AG342" s="11"/>
      <c r="AH342" s="11"/>
      <c r="AK342" s="11"/>
      <c r="AL342" s="11"/>
      <c r="AM342" s="11"/>
      <c r="AP342" s="11"/>
      <c r="AQ342" s="11"/>
      <c r="AR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F343" s="11"/>
      <c r="AG343" s="11"/>
      <c r="AH343" s="11"/>
      <c r="AK343" s="11"/>
      <c r="AL343" s="11"/>
      <c r="AM343" s="11"/>
      <c r="AP343" s="11"/>
      <c r="AQ343" s="11"/>
      <c r="AR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F344" s="11"/>
      <c r="AG344" s="11"/>
      <c r="AH344" s="11"/>
      <c r="AK344" s="11"/>
      <c r="AL344" s="11"/>
      <c r="AM344" s="11"/>
      <c r="AP344" s="11"/>
      <c r="AQ344" s="11"/>
      <c r="AR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F345" s="11"/>
      <c r="AG345" s="11"/>
      <c r="AH345" s="11"/>
      <c r="AK345" s="11"/>
      <c r="AL345" s="11"/>
      <c r="AM345" s="11"/>
      <c r="AP345" s="11"/>
      <c r="AQ345" s="11"/>
      <c r="AR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F346" s="11"/>
      <c r="AG346" s="11"/>
      <c r="AH346" s="11"/>
      <c r="AK346" s="11"/>
      <c r="AL346" s="11"/>
      <c r="AM346" s="11"/>
      <c r="AP346" s="11"/>
      <c r="AQ346" s="11"/>
      <c r="AR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F347" s="11"/>
      <c r="AG347" s="11"/>
      <c r="AH347" s="11"/>
      <c r="AK347" s="11"/>
      <c r="AL347" s="11"/>
      <c r="AM347" s="11"/>
      <c r="AP347" s="11"/>
      <c r="AQ347" s="11"/>
      <c r="AR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F348" s="11"/>
      <c r="AG348" s="11"/>
      <c r="AH348" s="11"/>
      <c r="AK348" s="11"/>
      <c r="AL348" s="11"/>
      <c r="AM348" s="11"/>
      <c r="AP348" s="11"/>
      <c r="AQ348" s="11"/>
      <c r="AR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F349" s="11"/>
      <c r="AG349" s="11"/>
      <c r="AH349" s="11"/>
      <c r="AK349" s="11"/>
      <c r="AL349" s="11"/>
      <c r="AM349" s="11"/>
      <c r="AP349" s="11"/>
      <c r="AQ349" s="11"/>
      <c r="AR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F350" s="11"/>
      <c r="AG350" s="11"/>
      <c r="AH350" s="11"/>
      <c r="AK350" s="11"/>
      <c r="AL350" s="11"/>
      <c r="AM350" s="11"/>
      <c r="AP350" s="11"/>
      <c r="AQ350" s="11"/>
      <c r="AR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F351" s="11"/>
      <c r="AG351" s="11"/>
      <c r="AH351" s="11"/>
      <c r="AK351" s="11"/>
      <c r="AL351" s="11"/>
      <c r="AM351" s="11"/>
      <c r="AP351" s="11"/>
      <c r="AQ351" s="11"/>
      <c r="AR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F352" s="11"/>
      <c r="AG352" s="11"/>
      <c r="AH352" s="11"/>
      <c r="AK352" s="11"/>
      <c r="AL352" s="11"/>
      <c r="AM352" s="11"/>
      <c r="AP352" s="11"/>
      <c r="AQ352" s="11"/>
      <c r="AR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F353" s="11"/>
      <c r="AG353" s="11"/>
      <c r="AH353" s="11"/>
      <c r="AK353" s="11"/>
      <c r="AL353" s="11"/>
      <c r="AM353" s="11"/>
      <c r="AP353" s="11"/>
      <c r="AQ353" s="11"/>
      <c r="AR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F354" s="11"/>
      <c r="AG354" s="11"/>
      <c r="AH354" s="11"/>
      <c r="AK354" s="11"/>
      <c r="AL354" s="11"/>
      <c r="AM354" s="11"/>
      <c r="AP354" s="11"/>
      <c r="AQ354" s="11"/>
      <c r="AR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F355" s="11"/>
      <c r="AG355" s="11"/>
      <c r="AH355" s="11"/>
      <c r="AK355" s="11"/>
      <c r="AL355" s="11"/>
      <c r="AM355" s="11"/>
      <c r="AP355" s="11"/>
      <c r="AQ355" s="11"/>
      <c r="AR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F356" s="11"/>
      <c r="AG356" s="11"/>
      <c r="AH356" s="11"/>
      <c r="AK356" s="11"/>
      <c r="AL356" s="11"/>
      <c r="AM356" s="11"/>
      <c r="AP356" s="11"/>
      <c r="AQ356" s="11"/>
      <c r="AR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F357" s="11"/>
      <c r="AG357" s="11"/>
      <c r="AH357" s="11"/>
      <c r="AK357" s="11"/>
      <c r="AL357" s="11"/>
      <c r="AM357" s="11"/>
      <c r="AP357" s="11"/>
      <c r="AQ357" s="11"/>
      <c r="AR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F358" s="11"/>
      <c r="AG358" s="11"/>
      <c r="AH358" s="11"/>
      <c r="AK358" s="11"/>
      <c r="AL358" s="11"/>
      <c r="AM358" s="11"/>
      <c r="AP358" s="11"/>
      <c r="AQ358" s="11"/>
      <c r="AR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F359" s="11"/>
      <c r="AG359" s="11"/>
      <c r="AH359" s="11"/>
      <c r="AK359" s="11"/>
      <c r="AL359" s="11"/>
      <c r="AM359" s="11"/>
      <c r="AP359" s="11"/>
      <c r="AQ359" s="11"/>
      <c r="AR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F360" s="11"/>
      <c r="AG360" s="11"/>
      <c r="AH360" s="11"/>
      <c r="AK360" s="11"/>
      <c r="AL360" s="11"/>
      <c r="AM360" s="11"/>
      <c r="AP360" s="11"/>
      <c r="AQ360" s="11"/>
      <c r="AR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F361" s="11"/>
      <c r="AG361" s="11"/>
      <c r="AH361" s="11"/>
      <c r="AK361" s="11"/>
      <c r="AL361" s="11"/>
      <c r="AM361" s="11"/>
      <c r="AP361" s="11"/>
      <c r="AQ361" s="11"/>
      <c r="AR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F362" s="11"/>
      <c r="AG362" s="11"/>
      <c r="AH362" s="11"/>
      <c r="AK362" s="11"/>
      <c r="AL362" s="11"/>
      <c r="AM362" s="11"/>
      <c r="AP362" s="11"/>
      <c r="AQ362" s="11"/>
      <c r="AR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F363" s="11"/>
      <c r="AG363" s="11"/>
      <c r="AH363" s="11"/>
      <c r="AK363" s="11"/>
      <c r="AL363" s="11"/>
      <c r="AM363" s="11"/>
      <c r="AP363" s="11"/>
      <c r="AQ363" s="11"/>
      <c r="AR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F364" s="11"/>
      <c r="AG364" s="11"/>
      <c r="AH364" s="11"/>
      <c r="AK364" s="11"/>
      <c r="AL364" s="11"/>
      <c r="AM364" s="11"/>
      <c r="AP364" s="11"/>
      <c r="AQ364" s="11"/>
      <c r="AR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F365" s="11"/>
      <c r="AG365" s="11"/>
      <c r="AH365" s="11"/>
      <c r="AK365" s="11"/>
      <c r="AL365" s="11"/>
      <c r="AM365" s="11"/>
      <c r="AP365" s="11"/>
      <c r="AQ365" s="11"/>
      <c r="AR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F366" s="11"/>
      <c r="AG366" s="11"/>
      <c r="AH366" s="11"/>
      <c r="AK366" s="11"/>
      <c r="AL366" s="11"/>
      <c r="AM366" s="11"/>
      <c r="AP366" s="11"/>
      <c r="AQ366" s="11"/>
      <c r="AR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F367" s="11"/>
      <c r="AG367" s="11"/>
      <c r="AH367" s="11"/>
      <c r="AK367" s="11"/>
      <c r="AL367" s="11"/>
      <c r="AM367" s="11"/>
      <c r="AP367" s="11"/>
      <c r="AQ367" s="11"/>
      <c r="AR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F368" s="11"/>
      <c r="AG368" s="11"/>
      <c r="AH368" s="11"/>
      <c r="AK368" s="11"/>
      <c r="AL368" s="11"/>
      <c r="AM368" s="11"/>
      <c r="AP368" s="11"/>
      <c r="AQ368" s="11"/>
      <c r="AR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F369" s="11"/>
      <c r="AG369" s="11"/>
      <c r="AH369" s="11"/>
      <c r="AK369" s="11"/>
      <c r="AL369" s="11"/>
      <c r="AM369" s="11"/>
      <c r="AP369" s="11"/>
      <c r="AQ369" s="11"/>
      <c r="AR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F370" s="11"/>
      <c r="AG370" s="11"/>
      <c r="AH370" s="11"/>
      <c r="AK370" s="11"/>
      <c r="AL370" s="11"/>
      <c r="AM370" s="11"/>
      <c r="AP370" s="11"/>
      <c r="AQ370" s="11"/>
      <c r="AR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F371" s="11"/>
      <c r="AG371" s="11"/>
      <c r="AH371" s="11"/>
      <c r="AK371" s="11"/>
      <c r="AL371" s="11"/>
      <c r="AM371" s="11"/>
      <c r="AP371" s="11"/>
      <c r="AQ371" s="11"/>
      <c r="AR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F372" s="11"/>
      <c r="AG372" s="11"/>
      <c r="AH372" s="11"/>
      <c r="AK372" s="11"/>
      <c r="AL372" s="11"/>
      <c r="AM372" s="11"/>
      <c r="AP372" s="11"/>
      <c r="AQ372" s="11"/>
      <c r="AR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F373" s="11"/>
      <c r="AG373" s="11"/>
      <c r="AH373" s="11"/>
      <c r="AK373" s="11"/>
      <c r="AL373" s="11"/>
      <c r="AM373" s="11"/>
      <c r="AP373" s="11"/>
      <c r="AQ373" s="11"/>
      <c r="AR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F374" s="11"/>
      <c r="AG374" s="11"/>
      <c r="AH374" s="11"/>
      <c r="AK374" s="11"/>
      <c r="AL374" s="11"/>
      <c r="AM374" s="11"/>
      <c r="AP374" s="11"/>
      <c r="AQ374" s="11"/>
      <c r="AR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F375" s="11"/>
      <c r="AG375" s="11"/>
      <c r="AH375" s="11"/>
      <c r="AK375" s="11"/>
      <c r="AL375" s="11"/>
      <c r="AM375" s="11"/>
      <c r="AP375" s="11"/>
      <c r="AQ375" s="11"/>
      <c r="AR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F376" s="11"/>
      <c r="AG376" s="11"/>
      <c r="AH376" s="11"/>
      <c r="AK376" s="11"/>
      <c r="AL376" s="11"/>
      <c r="AM376" s="11"/>
      <c r="AP376" s="11"/>
      <c r="AQ376" s="11"/>
      <c r="AR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F377" s="11"/>
      <c r="AG377" s="11"/>
      <c r="AH377" s="11"/>
      <c r="AK377" s="11"/>
      <c r="AL377" s="11"/>
      <c r="AM377" s="11"/>
      <c r="AP377" s="11"/>
      <c r="AQ377" s="11"/>
      <c r="AR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F378" s="11"/>
      <c r="AG378" s="11"/>
      <c r="AH378" s="11"/>
      <c r="AK378" s="11"/>
      <c r="AL378" s="11"/>
      <c r="AM378" s="11"/>
      <c r="AP378" s="11"/>
      <c r="AQ378" s="11"/>
      <c r="AR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F379" s="11"/>
      <c r="AG379" s="11"/>
      <c r="AH379" s="11"/>
      <c r="AK379" s="11"/>
      <c r="AL379" s="11"/>
      <c r="AM379" s="11"/>
      <c r="AP379" s="11"/>
      <c r="AQ379" s="11"/>
      <c r="AR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F380" s="11"/>
      <c r="AG380" s="11"/>
      <c r="AH380" s="11"/>
      <c r="AK380" s="11"/>
      <c r="AL380" s="11"/>
      <c r="AM380" s="11"/>
      <c r="AP380" s="11"/>
      <c r="AQ380" s="11"/>
      <c r="AR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F381" s="11"/>
      <c r="AG381" s="11"/>
      <c r="AH381" s="11"/>
      <c r="AK381" s="11"/>
      <c r="AL381" s="11"/>
      <c r="AM381" s="11"/>
      <c r="AP381" s="11"/>
      <c r="AQ381" s="11"/>
      <c r="AR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F382" s="11"/>
      <c r="AG382" s="11"/>
      <c r="AH382" s="11"/>
      <c r="AK382" s="11"/>
      <c r="AL382" s="11"/>
      <c r="AM382" s="11"/>
      <c r="AP382" s="11"/>
      <c r="AQ382" s="11"/>
      <c r="AR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F383" s="11"/>
      <c r="AG383" s="11"/>
      <c r="AH383" s="11"/>
      <c r="AK383" s="11"/>
      <c r="AL383" s="11"/>
      <c r="AM383" s="11"/>
      <c r="AP383" s="11"/>
      <c r="AQ383" s="11"/>
      <c r="AR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F384" s="11"/>
      <c r="AG384" s="11"/>
      <c r="AH384" s="11"/>
      <c r="AK384" s="11"/>
      <c r="AL384" s="11"/>
      <c r="AM384" s="11"/>
      <c r="AP384" s="11"/>
      <c r="AQ384" s="11"/>
      <c r="AR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F385" s="11"/>
      <c r="AG385" s="11"/>
      <c r="AH385" s="11"/>
      <c r="AK385" s="11"/>
      <c r="AL385" s="11"/>
      <c r="AM385" s="11"/>
      <c r="AP385" s="11"/>
      <c r="AQ385" s="11"/>
      <c r="AR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F386" s="11"/>
      <c r="AG386" s="11"/>
      <c r="AH386" s="11"/>
      <c r="AK386" s="11"/>
      <c r="AL386" s="11"/>
      <c r="AM386" s="11"/>
      <c r="AP386" s="11"/>
      <c r="AQ386" s="11"/>
      <c r="AR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F387" s="11"/>
      <c r="AG387" s="11"/>
      <c r="AH387" s="11"/>
      <c r="AK387" s="11"/>
      <c r="AL387" s="11"/>
      <c r="AM387" s="11"/>
      <c r="AP387" s="11"/>
      <c r="AQ387" s="11"/>
      <c r="AR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F388" s="11"/>
      <c r="AG388" s="11"/>
      <c r="AH388" s="11"/>
      <c r="AK388" s="11"/>
      <c r="AL388" s="11"/>
      <c r="AM388" s="11"/>
      <c r="AP388" s="11"/>
      <c r="AQ388" s="11"/>
      <c r="AR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F389" s="11"/>
      <c r="AG389" s="11"/>
      <c r="AH389" s="11"/>
      <c r="AK389" s="11"/>
      <c r="AL389" s="11"/>
      <c r="AM389" s="11"/>
      <c r="AP389" s="11"/>
      <c r="AQ389" s="11"/>
      <c r="AR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F390" s="11"/>
      <c r="AG390" s="11"/>
      <c r="AH390" s="11"/>
      <c r="AK390" s="11"/>
      <c r="AL390" s="11"/>
      <c r="AM390" s="11"/>
      <c r="AP390" s="11"/>
      <c r="AQ390" s="11"/>
      <c r="AR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F391" s="11"/>
      <c r="AG391" s="11"/>
      <c r="AH391" s="11"/>
      <c r="AK391" s="11"/>
      <c r="AL391" s="11"/>
      <c r="AM391" s="11"/>
      <c r="AP391" s="11"/>
      <c r="AQ391" s="11"/>
      <c r="AR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F392" s="11"/>
      <c r="AG392" s="11"/>
      <c r="AH392" s="11"/>
      <c r="AK392" s="11"/>
      <c r="AL392" s="11"/>
      <c r="AM392" s="11"/>
      <c r="AP392" s="11"/>
      <c r="AQ392" s="11"/>
      <c r="AR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F393" s="11"/>
      <c r="AG393" s="11"/>
      <c r="AH393" s="11"/>
      <c r="AK393" s="11"/>
      <c r="AL393" s="11"/>
      <c r="AM393" s="11"/>
      <c r="AP393" s="11"/>
      <c r="AQ393" s="11"/>
      <c r="AR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F394" s="11"/>
      <c r="AG394" s="11"/>
      <c r="AH394" s="11"/>
      <c r="AK394" s="11"/>
      <c r="AL394" s="11"/>
      <c r="AM394" s="11"/>
      <c r="AP394" s="11"/>
      <c r="AQ394" s="11"/>
      <c r="AR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F395" s="11"/>
      <c r="AG395" s="11"/>
      <c r="AH395" s="11"/>
      <c r="AK395" s="11"/>
      <c r="AL395" s="11"/>
      <c r="AM395" s="11"/>
      <c r="AP395" s="11"/>
      <c r="AQ395" s="11"/>
      <c r="AR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F396" s="11"/>
      <c r="AG396" s="11"/>
      <c r="AH396" s="11"/>
      <c r="AK396" s="11"/>
      <c r="AL396" s="11"/>
      <c r="AM396" s="11"/>
      <c r="AP396" s="11"/>
      <c r="AQ396" s="11"/>
      <c r="AR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F397" s="11"/>
      <c r="AG397" s="11"/>
      <c r="AH397" s="11"/>
      <c r="AK397" s="11"/>
      <c r="AL397" s="11"/>
      <c r="AM397" s="11"/>
      <c r="AP397" s="11"/>
      <c r="AQ397" s="11"/>
      <c r="AR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F398" s="11"/>
      <c r="AG398" s="11"/>
      <c r="AH398" s="11"/>
      <c r="AK398" s="11"/>
      <c r="AL398" s="11"/>
      <c r="AM398" s="11"/>
      <c r="AP398" s="11"/>
      <c r="AQ398" s="11"/>
      <c r="AR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F399" s="11"/>
      <c r="AG399" s="11"/>
      <c r="AH399" s="11"/>
      <c r="AK399" s="11"/>
      <c r="AL399" s="11"/>
      <c r="AM399" s="11"/>
      <c r="AP399" s="11"/>
      <c r="AQ399" s="11"/>
      <c r="AR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F400" s="11"/>
      <c r="AG400" s="11"/>
      <c r="AH400" s="11"/>
      <c r="AK400" s="11"/>
      <c r="AL400" s="11"/>
      <c r="AM400" s="11"/>
      <c r="AP400" s="11"/>
      <c r="AQ400" s="11"/>
      <c r="AR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F401" s="11"/>
      <c r="AG401" s="11"/>
      <c r="AH401" s="11"/>
      <c r="AK401" s="11"/>
      <c r="AL401" s="11"/>
      <c r="AM401" s="11"/>
      <c r="AP401" s="11"/>
      <c r="AQ401" s="11"/>
      <c r="AR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F402" s="11"/>
      <c r="AG402" s="11"/>
      <c r="AH402" s="11"/>
      <c r="AK402" s="11"/>
      <c r="AL402" s="11"/>
      <c r="AM402" s="11"/>
      <c r="AP402" s="11"/>
      <c r="AQ402" s="11"/>
      <c r="AR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F403" s="11"/>
      <c r="AG403" s="11"/>
      <c r="AH403" s="11"/>
      <c r="AK403" s="11"/>
      <c r="AL403" s="11"/>
      <c r="AM403" s="11"/>
      <c r="AP403" s="11"/>
      <c r="AQ403" s="11"/>
      <c r="AR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F404" s="11"/>
      <c r="AG404" s="11"/>
      <c r="AH404" s="11"/>
      <c r="AK404" s="11"/>
      <c r="AL404" s="11"/>
      <c r="AM404" s="11"/>
      <c r="AP404" s="11"/>
      <c r="AQ404" s="11"/>
      <c r="AR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F405" s="11"/>
      <c r="AG405" s="11"/>
      <c r="AH405" s="11"/>
      <c r="AK405" s="11"/>
      <c r="AL405" s="11"/>
      <c r="AM405" s="11"/>
      <c r="AP405" s="11"/>
      <c r="AQ405" s="11"/>
      <c r="AR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F406" s="11"/>
      <c r="AG406" s="11"/>
      <c r="AH406" s="11"/>
      <c r="AK406" s="11"/>
      <c r="AL406" s="11"/>
      <c r="AM406" s="11"/>
      <c r="AP406" s="11"/>
      <c r="AQ406" s="11"/>
      <c r="AR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F407" s="11"/>
      <c r="AG407" s="11"/>
      <c r="AH407" s="11"/>
      <c r="AK407" s="11"/>
      <c r="AL407" s="11"/>
      <c r="AM407" s="11"/>
      <c r="AP407" s="11"/>
      <c r="AQ407" s="11"/>
      <c r="AR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F408" s="11"/>
      <c r="AG408" s="11"/>
      <c r="AH408" s="11"/>
      <c r="AK408" s="11"/>
      <c r="AL408" s="11"/>
      <c r="AM408" s="11"/>
      <c r="AP408" s="11"/>
      <c r="AQ408" s="11"/>
      <c r="AR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F409" s="11"/>
      <c r="AG409" s="11"/>
      <c r="AH409" s="11"/>
      <c r="AK409" s="11"/>
      <c r="AL409" s="11"/>
      <c r="AM409" s="11"/>
      <c r="AP409" s="11"/>
      <c r="AQ409" s="11"/>
      <c r="AR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F410" s="11"/>
      <c r="AG410" s="11"/>
      <c r="AH410" s="11"/>
      <c r="AK410" s="11"/>
      <c r="AL410" s="11"/>
      <c r="AM410" s="11"/>
      <c r="AP410" s="11"/>
      <c r="AQ410" s="11"/>
      <c r="AR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F411" s="11"/>
      <c r="AG411" s="11"/>
      <c r="AH411" s="11"/>
      <c r="AK411" s="11"/>
      <c r="AL411" s="11"/>
      <c r="AM411" s="11"/>
      <c r="AP411" s="11"/>
      <c r="AQ411" s="11"/>
      <c r="AR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F412" s="11"/>
      <c r="AG412" s="11"/>
      <c r="AH412" s="11"/>
      <c r="AK412" s="11"/>
      <c r="AL412" s="11"/>
      <c r="AM412" s="11"/>
      <c r="AP412" s="11"/>
      <c r="AQ412" s="11"/>
      <c r="AR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F413" s="11"/>
      <c r="AG413" s="11"/>
      <c r="AH413" s="11"/>
      <c r="AK413" s="11"/>
      <c r="AL413" s="11"/>
      <c r="AM413" s="11"/>
      <c r="AP413" s="11"/>
      <c r="AQ413" s="11"/>
      <c r="AR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F414" s="11"/>
      <c r="AG414" s="11"/>
      <c r="AH414" s="11"/>
      <c r="AK414" s="11"/>
      <c r="AL414" s="11"/>
      <c r="AM414" s="11"/>
      <c r="AP414" s="11"/>
      <c r="AQ414" s="11"/>
      <c r="AR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F415" s="11"/>
      <c r="AG415" s="11"/>
      <c r="AH415" s="11"/>
      <c r="AK415" s="11"/>
      <c r="AL415" s="11"/>
      <c r="AM415" s="11"/>
      <c r="AP415" s="11"/>
      <c r="AQ415" s="11"/>
      <c r="AR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F416" s="11"/>
      <c r="AG416" s="11"/>
      <c r="AH416" s="11"/>
      <c r="AK416" s="11"/>
      <c r="AL416" s="11"/>
      <c r="AM416" s="11"/>
      <c r="AP416" s="11"/>
      <c r="AQ416" s="11"/>
      <c r="AR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F417" s="11"/>
      <c r="AG417" s="11"/>
      <c r="AH417" s="11"/>
      <c r="AK417" s="11"/>
      <c r="AL417" s="11"/>
      <c r="AM417" s="11"/>
      <c r="AP417" s="11"/>
      <c r="AQ417" s="11"/>
      <c r="AR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F418" s="11"/>
      <c r="AG418" s="11"/>
      <c r="AH418" s="11"/>
      <c r="AK418" s="11"/>
      <c r="AL418" s="11"/>
      <c r="AM418" s="11"/>
      <c r="AP418" s="11"/>
      <c r="AQ418" s="11"/>
      <c r="AR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F419" s="11"/>
      <c r="AG419" s="11"/>
      <c r="AH419" s="11"/>
      <c r="AK419" s="11"/>
      <c r="AL419" s="11"/>
      <c r="AM419" s="11"/>
      <c r="AP419" s="11"/>
      <c r="AQ419" s="11"/>
      <c r="AR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F420" s="11"/>
      <c r="AG420" s="11"/>
      <c r="AH420" s="11"/>
      <c r="AK420" s="11"/>
      <c r="AL420" s="11"/>
      <c r="AM420" s="11"/>
      <c r="AP420" s="11"/>
      <c r="AQ420" s="11"/>
      <c r="AR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F421" s="11"/>
      <c r="AG421" s="11"/>
      <c r="AH421" s="11"/>
      <c r="AK421" s="11"/>
      <c r="AL421" s="11"/>
      <c r="AM421" s="11"/>
      <c r="AP421" s="11"/>
      <c r="AQ421" s="11"/>
      <c r="AR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F422" s="11"/>
      <c r="AG422" s="11"/>
      <c r="AH422" s="11"/>
      <c r="AK422" s="11"/>
      <c r="AL422" s="11"/>
      <c r="AM422" s="11"/>
      <c r="AP422" s="11"/>
      <c r="AQ422" s="11"/>
      <c r="AR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F423" s="11"/>
      <c r="AG423" s="11"/>
      <c r="AH423" s="11"/>
      <c r="AK423" s="11"/>
      <c r="AL423" s="11"/>
      <c r="AM423" s="11"/>
      <c r="AP423" s="11"/>
      <c r="AQ423" s="11"/>
      <c r="AR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F424" s="11"/>
      <c r="AG424" s="11"/>
      <c r="AH424" s="11"/>
      <c r="AK424" s="11"/>
      <c r="AL424" s="11"/>
      <c r="AM424" s="11"/>
      <c r="AP424" s="11"/>
      <c r="AQ424" s="11"/>
      <c r="AR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F425" s="11"/>
      <c r="AG425" s="11"/>
      <c r="AH425" s="11"/>
      <c r="AK425" s="11"/>
      <c r="AL425" s="11"/>
      <c r="AM425" s="11"/>
      <c r="AP425" s="11"/>
      <c r="AQ425" s="11"/>
      <c r="AR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F426" s="11"/>
      <c r="AG426" s="11"/>
      <c r="AH426" s="11"/>
      <c r="AK426" s="11"/>
      <c r="AL426" s="11"/>
      <c r="AM426" s="11"/>
      <c r="AP426" s="11"/>
      <c r="AQ426" s="11"/>
      <c r="AR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F427" s="11"/>
      <c r="AG427" s="11"/>
      <c r="AH427" s="11"/>
      <c r="AK427" s="11"/>
      <c r="AL427" s="11"/>
      <c r="AM427" s="11"/>
      <c r="AP427" s="11"/>
      <c r="AQ427" s="11"/>
      <c r="AR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F428" s="11"/>
      <c r="AG428" s="11"/>
      <c r="AH428" s="11"/>
      <c r="AK428" s="11"/>
      <c r="AL428" s="11"/>
      <c r="AM428" s="11"/>
      <c r="AP428" s="11"/>
      <c r="AQ428" s="11"/>
      <c r="AR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F429" s="11"/>
      <c r="AG429" s="11"/>
      <c r="AH429" s="11"/>
      <c r="AK429" s="11"/>
      <c r="AL429" s="11"/>
      <c r="AM429" s="11"/>
      <c r="AP429" s="11"/>
      <c r="AQ429" s="11"/>
      <c r="AR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F430" s="11"/>
      <c r="AG430" s="11"/>
      <c r="AH430" s="11"/>
      <c r="AK430" s="11"/>
      <c r="AL430" s="11"/>
      <c r="AM430" s="11"/>
      <c r="AP430" s="11"/>
      <c r="AQ430" s="11"/>
      <c r="AR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F431" s="11"/>
      <c r="AG431" s="11"/>
      <c r="AH431" s="11"/>
      <c r="AK431" s="11"/>
      <c r="AL431" s="11"/>
      <c r="AM431" s="11"/>
      <c r="AP431" s="11"/>
      <c r="AQ431" s="11"/>
      <c r="AR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F432" s="11"/>
      <c r="AG432" s="11"/>
      <c r="AH432" s="11"/>
      <c r="AK432" s="11"/>
      <c r="AL432" s="11"/>
      <c r="AM432" s="11"/>
      <c r="AP432" s="11"/>
      <c r="AQ432" s="11"/>
      <c r="AR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F433" s="11"/>
      <c r="AG433" s="11"/>
      <c r="AH433" s="11"/>
      <c r="AK433" s="11"/>
      <c r="AL433" s="11"/>
      <c r="AM433" s="11"/>
      <c r="AP433" s="11"/>
      <c r="AQ433" s="11"/>
      <c r="AR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F434" s="11"/>
      <c r="AG434" s="11"/>
      <c r="AH434" s="11"/>
      <c r="AK434" s="11"/>
      <c r="AL434" s="11"/>
      <c r="AM434" s="11"/>
      <c r="AP434" s="11"/>
      <c r="AQ434" s="11"/>
      <c r="AR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F435" s="11"/>
      <c r="AG435" s="11"/>
      <c r="AH435" s="11"/>
      <c r="AK435" s="11"/>
      <c r="AL435" s="11"/>
      <c r="AM435" s="11"/>
      <c r="AP435" s="11"/>
      <c r="AQ435" s="11"/>
      <c r="AR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F436" s="11"/>
      <c r="AG436" s="11"/>
      <c r="AH436" s="11"/>
      <c r="AK436" s="11"/>
      <c r="AL436" s="11"/>
      <c r="AM436" s="11"/>
      <c r="AP436" s="11"/>
      <c r="AQ436" s="11"/>
      <c r="AR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F437" s="11"/>
      <c r="AG437" s="11"/>
      <c r="AH437" s="11"/>
      <c r="AK437" s="11"/>
      <c r="AL437" s="11"/>
      <c r="AM437" s="11"/>
      <c r="AP437" s="11"/>
      <c r="AQ437" s="11"/>
      <c r="AR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F438" s="11"/>
      <c r="AG438" s="11"/>
      <c r="AH438" s="11"/>
      <c r="AK438" s="11"/>
      <c r="AL438" s="11"/>
      <c r="AM438" s="11"/>
      <c r="AP438" s="11"/>
      <c r="AQ438" s="11"/>
      <c r="AR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F439" s="11"/>
      <c r="AG439" s="11"/>
      <c r="AH439" s="11"/>
      <c r="AK439" s="11"/>
      <c r="AL439" s="11"/>
      <c r="AM439" s="11"/>
      <c r="AP439" s="11"/>
      <c r="AQ439" s="11"/>
      <c r="AR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F440" s="11"/>
      <c r="AG440" s="11"/>
      <c r="AH440" s="11"/>
      <c r="AK440" s="11"/>
      <c r="AL440" s="11"/>
      <c r="AM440" s="11"/>
      <c r="AP440" s="11"/>
      <c r="AQ440" s="11"/>
      <c r="AR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F441" s="11"/>
      <c r="AG441" s="11"/>
      <c r="AH441" s="11"/>
      <c r="AK441" s="11"/>
      <c r="AL441" s="11"/>
      <c r="AM441" s="11"/>
      <c r="AP441" s="11"/>
      <c r="AQ441" s="11"/>
      <c r="AR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F442" s="11"/>
      <c r="AG442" s="11"/>
      <c r="AH442" s="11"/>
      <c r="AK442" s="11"/>
      <c r="AL442" s="11"/>
      <c r="AM442" s="11"/>
      <c r="AP442" s="11"/>
      <c r="AQ442" s="11"/>
      <c r="AR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F443" s="11"/>
      <c r="AG443" s="11"/>
      <c r="AH443" s="11"/>
      <c r="AK443" s="11"/>
      <c r="AL443" s="11"/>
      <c r="AM443" s="11"/>
      <c r="AP443" s="11"/>
      <c r="AQ443" s="11"/>
      <c r="AR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F444" s="11"/>
      <c r="AG444" s="11"/>
      <c r="AH444" s="11"/>
      <c r="AK444" s="11"/>
      <c r="AL444" s="11"/>
      <c r="AM444" s="11"/>
      <c r="AP444" s="11"/>
      <c r="AQ444" s="11"/>
      <c r="AR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F445" s="11"/>
      <c r="AG445" s="11"/>
      <c r="AH445" s="11"/>
      <c r="AK445" s="11"/>
      <c r="AL445" s="11"/>
      <c r="AM445" s="11"/>
      <c r="AP445" s="11"/>
      <c r="AQ445" s="11"/>
      <c r="AR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F446" s="11"/>
      <c r="AG446" s="11"/>
      <c r="AH446" s="11"/>
      <c r="AK446" s="11"/>
      <c r="AL446" s="11"/>
      <c r="AM446" s="11"/>
      <c r="AP446" s="11"/>
      <c r="AQ446" s="11"/>
      <c r="AR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F447" s="11"/>
      <c r="AG447" s="11"/>
      <c r="AH447" s="11"/>
      <c r="AK447" s="11"/>
      <c r="AL447" s="11"/>
      <c r="AM447" s="11"/>
      <c r="AP447" s="11"/>
      <c r="AQ447" s="11"/>
      <c r="AR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F448" s="11"/>
      <c r="AG448" s="11"/>
      <c r="AH448" s="11"/>
      <c r="AK448" s="11"/>
      <c r="AL448" s="11"/>
      <c r="AM448" s="11"/>
      <c r="AP448" s="11"/>
      <c r="AQ448" s="11"/>
      <c r="AR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F449" s="11"/>
      <c r="AG449" s="11"/>
      <c r="AH449" s="11"/>
      <c r="AK449" s="11"/>
      <c r="AL449" s="11"/>
      <c r="AM449" s="11"/>
      <c r="AP449" s="11"/>
      <c r="AQ449" s="11"/>
      <c r="AR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F450" s="11"/>
      <c r="AG450" s="11"/>
      <c r="AH450" s="11"/>
      <c r="AK450" s="11"/>
      <c r="AL450" s="11"/>
      <c r="AM450" s="11"/>
      <c r="AP450" s="11"/>
      <c r="AQ450" s="11"/>
      <c r="AR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F451" s="11"/>
      <c r="AG451" s="11"/>
      <c r="AH451" s="11"/>
      <c r="AK451" s="11"/>
      <c r="AL451" s="11"/>
      <c r="AM451" s="11"/>
      <c r="AP451" s="11"/>
      <c r="AQ451" s="11"/>
      <c r="AR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F452" s="11"/>
      <c r="AG452" s="11"/>
      <c r="AH452" s="11"/>
      <c r="AK452" s="11"/>
      <c r="AL452" s="11"/>
      <c r="AM452" s="11"/>
      <c r="AP452" s="11"/>
      <c r="AQ452" s="11"/>
      <c r="AR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F453" s="11"/>
      <c r="AG453" s="11"/>
      <c r="AH453" s="11"/>
      <c r="AK453" s="11"/>
      <c r="AL453" s="11"/>
      <c r="AM453" s="11"/>
      <c r="AP453" s="11"/>
      <c r="AQ453" s="11"/>
      <c r="AR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F454" s="11"/>
      <c r="AG454" s="11"/>
      <c r="AH454" s="11"/>
      <c r="AK454" s="11"/>
      <c r="AL454" s="11"/>
      <c r="AM454" s="11"/>
      <c r="AP454" s="11"/>
      <c r="AQ454" s="11"/>
      <c r="AR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F455" s="11"/>
      <c r="AG455" s="11"/>
      <c r="AH455" s="11"/>
      <c r="AK455" s="11"/>
      <c r="AL455" s="11"/>
      <c r="AM455" s="11"/>
      <c r="AP455" s="11"/>
      <c r="AQ455" s="11"/>
      <c r="AR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F456" s="11"/>
      <c r="AG456" s="11"/>
      <c r="AH456" s="11"/>
      <c r="AK456" s="11"/>
      <c r="AL456" s="11"/>
      <c r="AM456" s="11"/>
      <c r="AP456" s="11"/>
      <c r="AQ456" s="11"/>
      <c r="AR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F457" s="11"/>
      <c r="AG457" s="11"/>
      <c r="AH457" s="11"/>
      <c r="AK457" s="11"/>
      <c r="AL457" s="11"/>
      <c r="AM457" s="11"/>
      <c r="AP457" s="11"/>
      <c r="AQ457" s="11"/>
      <c r="AR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F458" s="11"/>
      <c r="AG458" s="11"/>
      <c r="AH458" s="11"/>
      <c r="AK458" s="11"/>
      <c r="AL458" s="11"/>
      <c r="AM458" s="11"/>
      <c r="AP458" s="11"/>
      <c r="AQ458" s="11"/>
      <c r="AR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F459" s="11"/>
      <c r="AG459" s="11"/>
      <c r="AH459" s="11"/>
      <c r="AK459" s="11"/>
      <c r="AL459" s="11"/>
      <c r="AM459" s="11"/>
      <c r="AP459" s="11"/>
      <c r="AQ459" s="11"/>
      <c r="AR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F460" s="11"/>
      <c r="AG460" s="11"/>
      <c r="AH460" s="11"/>
      <c r="AK460" s="11"/>
      <c r="AL460" s="11"/>
      <c r="AM460" s="11"/>
      <c r="AP460" s="11"/>
      <c r="AQ460" s="11"/>
      <c r="AR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F461" s="11"/>
      <c r="AG461" s="11"/>
      <c r="AH461" s="11"/>
      <c r="AK461" s="11"/>
      <c r="AL461" s="11"/>
      <c r="AM461" s="11"/>
      <c r="AP461" s="11"/>
      <c r="AQ461" s="11"/>
      <c r="AR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F462" s="11"/>
      <c r="AG462" s="11"/>
      <c r="AH462" s="11"/>
      <c r="AK462" s="11"/>
      <c r="AL462" s="11"/>
      <c r="AM462" s="11"/>
      <c r="AP462" s="11"/>
      <c r="AQ462" s="11"/>
      <c r="AR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F463" s="11"/>
      <c r="AG463" s="11"/>
      <c r="AH463" s="11"/>
      <c r="AK463" s="11"/>
      <c r="AL463" s="11"/>
      <c r="AM463" s="11"/>
      <c r="AP463" s="11"/>
      <c r="AQ463" s="11"/>
      <c r="AR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F464" s="11"/>
      <c r="AG464" s="11"/>
      <c r="AH464" s="11"/>
      <c r="AK464" s="11"/>
      <c r="AL464" s="11"/>
      <c r="AM464" s="11"/>
      <c r="AP464" s="11"/>
      <c r="AQ464" s="11"/>
      <c r="AR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F465" s="11"/>
      <c r="AG465" s="11"/>
      <c r="AH465" s="11"/>
      <c r="AK465" s="11"/>
      <c r="AL465" s="11"/>
      <c r="AM465" s="11"/>
      <c r="AP465" s="11"/>
      <c r="AQ465" s="11"/>
      <c r="AR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F466" s="11"/>
      <c r="AG466" s="11"/>
      <c r="AH466" s="11"/>
      <c r="AK466" s="11"/>
      <c r="AL466" s="11"/>
      <c r="AM466" s="11"/>
      <c r="AP466" s="11"/>
      <c r="AQ466" s="11"/>
      <c r="AR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F467" s="11"/>
      <c r="AG467" s="11"/>
      <c r="AH467" s="11"/>
      <c r="AK467" s="11"/>
      <c r="AL467" s="11"/>
      <c r="AM467" s="11"/>
      <c r="AP467" s="11"/>
      <c r="AQ467" s="11"/>
      <c r="AR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F468" s="11"/>
      <c r="AG468" s="11"/>
      <c r="AH468" s="11"/>
      <c r="AK468" s="11"/>
      <c r="AL468" s="11"/>
      <c r="AM468" s="11"/>
      <c r="AP468" s="11"/>
      <c r="AQ468" s="11"/>
      <c r="AR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F469" s="11"/>
      <c r="AG469" s="11"/>
      <c r="AH469" s="11"/>
      <c r="AK469" s="11"/>
      <c r="AL469" s="11"/>
      <c r="AM469" s="11"/>
      <c r="AP469" s="11"/>
      <c r="AQ469" s="11"/>
      <c r="AR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F470" s="11"/>
      <c r="AG470" s="11"/>
      <c r="AH470" s="11"/>
      <c r="AK470" s="11"/>
      <c r="AL470" s="11"/>
      <c r="AM470" s="11"/>
      <c r="AP470" s="11"/>
      <c r="AQ470" s="11"/>
      <c r="AR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F471" s="11"/>
      <c r="AG471" s="11"/>
      <c r="AH471" s="11"/>
      <c r="AK471" s="11"/>
      <c r="AL471" s="11"/>
      <c r="AM471" s="11"/>
      <c r="AP471" s="11"/>
      <c r="AQ471" s="11"/>
      <c r="AR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F472" s="11"/>
      <c r="AG472" s="11"/>
      <c r="AH472" s="11"/>
      <c r="AK472" s="11"/>
      <c r="AL472" s="11"/>
      <c r="AM472" s="11"/>
      <c r="AP472" s="11"/>
      <c r="AQ472" s="11"/>
      <c r="AR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F473" s="11"/>
      <c r="AG473" s="11"/>
      <c r="AH473" s="11"/>
      <c r="AK473" s="11"/>
      <c r="AL473" s="11"/>
      <c r="AM473" s="11"/>
      <c r="AP473" s="11"/>
      <c r="AQ473" s="11"/>
      <c r="AR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F474" s="11"/>
      <c r="AG474" s="11"/>
      <c r="AH474" s="11"/>
      <c r="AK474" s="11"/>
      <c r="AL474" s="11"/>
      <c r="AM474" s="11"/>
      <c r="AP474" s="11"/>
      <c r="AQ474" s="11"/>
      <c r="AR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F475" s="11"/>
      <c r="AG475" s="11"/>
      <c r="AH475" s="11"/>
      <c r="AK475" s="11"/>
      <c r="AL475" s="11"/>
      <c r="AM475" s="11"/>
      <c r="AP475" s="11"/>
      <c r="AQ475" s="11"/>
      <c r="AR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F476" s="11"/>
      <c r="AG476" s="11"/>
      <c r="AH476" s="11"/>
      <c r="AK476" s="11"/>
      <c r="AL476" s="11"/>
      <c r="AM476" s="11"/>
      <c r="AP476" s="11"/>
      <c r="AQ476" s="11"/>
      <c r="AR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F477" s="11"/>
      <c r="AG477" s="11"/>
      <c r="AH477" s="11"/>
      <c r="AK477" s="11"/>
      <c r="AL477" s="11"/>
      <c r="AM477" s="11"/>
      <c r="AP477" s="11"/>
      <c r="AQ477" s="11"/>
      <c r="AR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F478" s="11"/>
      <c r="AG478" s="11"/>
      <c r="AH478" s="11"/>
      <c r="AK478" s="11"/>
      <c r="AL478" s="11"/>
      <c r="AM478" s="11"/>
      <c r="AP478" s="11"/>
      <c r="AQ478" s="11"/>
      <c r="AR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F479" s="11"/>
      <c r="AG479" s="11"/>
      <c r="AH479" s="11"/>
      <c r="AK479" s="11"/>
      <c r="AL479" s="11"/>
      <c r="AM479" s="11"/>
      <c r="AP479" s="11"/>
      <c r="AQ479" s="11"/>
      <c r="AR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F480" s="11"/>
      <c r="AG480" s="11"/>
      <c r="AH480" s="11"/>
      <c r="AK480" s="11"/>
      <c r="AL480" s="11"/>
      <c r="AM480" s="11"/>
      <c r="AP480" s="11"/>
      <c r="AQ480" s="11"/>
      <c r="AR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F481" s="11"/>
      <c r="AG481" s="11"/>
      <c r="AH481" s="11"/>
      <c r="AK481" s="11"/>
      <c r="AL481" s="11"/>
      <c r="AM481" s="11"/>
      <c r="AP481" s="11"/>
      <c r="AQ481" s="11"/>
      <c r="AR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F482" s="11"/>
      <c r="AG482" s="11"/>
      <c r="AH482" s="11"/>
      <c r="AK482" s="11"/>
      <c r="AL482" s="11"/>
      <c r="AM482" s="11"/>
      <c r="AP482" s="11"/>
      <c r="AQ482" s="11"/>
      <c r="AR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F483" s="11"/>
      <c r="AG483" s="11"/>
      <c r="AH483" s="11"/>
      <c r="AK483" s="11"/>
      <c r="AL483" s="11"/>
      <c r="AM483" s="11"/>
      <c r="AP483" s="11"/>
      <c r="AQ483" s="11"/>
      <c r="AR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F484" s="11"/>
      <c r="AG484" s="11"/>
      <c r="AH484" s="11"/>
      <c r="AK484" s="11"/>
      <c r="AL484" s="11"/>
      <c r="AM484" s="11"/>
      <c r="AP484" s="11"/>
      <c r="AQ484" s="11"/>
      <c r="AR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F485" s="11"/>
      <c r="AG485" s="11"/>
      <c r="AH485" s="11"/>
      <c r="AK485" s="11"/>
      <c r="AL485" s="11"/>
      <c r="AM485" s="11"/>
      <c r="AP485" s="11"/>
      <c r="AQ485" s="11"/>
      <c r="AR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F486" s="11"/>
      <c r="AG486" s="11"/>
      <c r="AH486" s="11"/>
      <c r="AK486" s="11"/>
      <c r="AL486" s="11"/>
      <c r="AM486" s="11"/>
      <c r="AP486" s="11"/>
      <c r="AQ486" s="11"/>
      <c r="AR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F487" s="11"/>
      <c r="AG487" s="11"/>
      <c r="AH487" s="11"/>
      <c r="AK487" s="11"/>
      <c r="AL487" s="11"/>
      <c r="AM487" s="11"/>
      <c r="AP487" s="11"/>
      <c r="AQ487" s="11"/>
      <c r="AR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F488" s="11"/>
      <c r="AG488" s="11"/>
      <c r="AH488" s="11"/>
      <c r="AK488" s="11"/>
      <c r="AL488" s="11"/>
      <c r="AM488" s="11"/>
      <c r="AP488" s="11"/>
      <c r="AQ488" s="11"/>
      <c r="AR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F489" s="11"/>
      <c r="AG489" s="11"/>
      <c r="AH489" s="11"/>
      <c r="AK489" s="11"/>
      <c r="AL489" s="11"/>
      <c r="AM489" s="11"/>
      <c r="AP489" s="11"/>
      <c r="AQ489" s="11"/>
      <c r="AR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F490" s="11"/>
      <c r="AG490" s="11"/>
      <c r="AH490" s="11"/>
      <c r="AK490" s="11"/>
      <c r="AL490" s="11"/>
      <c r="AM490" s="11"/>
      <c r="AP490" s="11"/>
      <c r="AQ490" s="11"/>
      <c r="AR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F491" s="11"/>
      <c r="AG491" s="11"/>
      <c r="AH491" s="11"/>
      <c r="AK491" s="11"/>
      <c r="AL491" s="11"/>
      <c r="AM491" s="11"/>
      <c r="AP491" s="11"/>
      <c r="AQ491" s="11"/>
      <c r="AR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F492" s="11"/>
      <c r="AG492" s="11"/>
      <c r="AH492" s="11"/>
      <c r="AK492" s="11"/>
      <c r="AL492" s="11"/>
      <c r="AM492" s="11"/>
      <c r="AP492" s="11"/>
      <c r="AQ492" s="11"/>
      <c r="AR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F493" s="11"/>
      <c r="AG493" s="11"/>
      <c r="AH493" s="11"/>
      <c r="AK493" s="11"/>
      <c r="AL493" s="11"/>
      <c r="AM493" s="11"/>
      <c r="AP493" s="11"/>
      <c r="AQ493" s="11"/>
      <c r="AR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F494" s="11"/>
      <c r="AG494" s="11"/>
      <c r="AH494" s="11"/>
      <c r="AK494" s="11"/>
      <c r="AL494" s="11"/>
      <c r="AM494" s="11"/>
      <c r="AP494" s="11"/>
      <c r="AQ494" s="11"/>
      <c r="AR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F495" s="11"/>
      <c r="AG495" s="11"/>
      <c r="AH495" s="11"/>
      <c r="AK495" s="11"/>
      <c r="AL495" s="11"/>
      <c r="AM495" s="11"/>
      <c r="AP495" s="11"/>
      <c r="AQ495" s="11"/>
      <c r="AR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F496" s="11"/>
      <c r="AG496" s="11"/>
      <c r="AH496" s="11"/>
      <c r="AK496" s="11"/>
      <c r="AL496" s="11"/>
      <c r="AM496" s="11"/>
      <c r="AP496" s="11"/>
      <c r="AQ496" s="11"/>
      <c r="AR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F497" s="11"/>
      <c r="AG497" s="11"/>
      <c r="AH497" s="11"/>
      <c r="AK497" s="11"/>
      <c r="AL497" s="11"/>
      <c r="AM497" s="11"/>
      <c r="AP497" s="11"/>
      <c r="AQ497" s="11"/>
      <c r="AR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F498" s="11"/>
      <c r="AG498" s="11"/>
      <c r="AH498" s="11"/>
      <c r="AK498" s="11"/>
      <c r="AL498" s="11"/>
      <c r="AM498" s="11"/>
      <c r="AP498" s="11"/>
      <c r="AQ498" s="11"/>
      <c r="AR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F499" s="11"/>
      <c r="AG499" s="11"/>
      <c r="AH499" s="11"/>
      <c r="AK499" s="11"/>
      <c r="AL499" s="11"/>
      <c r="AM499" s="11"/>
      <c r="AP499" s="11"/>
      <c r="AQ499" s="11"/>
      <c r="AR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F500" s="11"/>
      <c r="AG500" s="11"/>
      <c r="AH500" s="11"/>
      <c r="AK500" s="11"/>
      <c r="AL500" s="11"/>
      <c r="AM500" s="11"/>
      <c r="AP500" s="11"/>
      <c r="AQ500" s="11"/>
      <c r="AR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F501" s="11"/>
      <c r="AG501" s="11"/>
      <c r="AH501" s="11"/>
      <c r="AK501" s="11"/>
      <c r="AL501" s="11"/>
      <c r="AM501" s="11"/>
      <c r="AP501" s="11"/>
      <c r="AQ501" s="11"/>
      <c r="AR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F502" s="11"/>
      <c r="AG502" s="11"/>
      <c r="AH502" s="11"/>
      <c r="AK502" s="11"/>
      <c r="AL502" s="11"/>
      <c r="AM502" s="11"/>
      <c r="AP502" s="11"/>
      <c r="AQ502" s="11"/>
      <c r="AR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F503" s="11"/>
      <c r="AG503" s="11"/>
      <c r="AH503" s="11"/>
      <c r="AK503" s="11"/>
      <c r="AL503" s="11"/>
      <c r="AM503" s="11"/>
      <c r="AP503" s="11"/>
      <c r="AQ503" s="11"/>
      <c r="AR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F504" s="11"/>
      <c r="AG504" s="11"/>
      <c r="AH504" s="11"/>
      <c r="AK504" s="11"/>
      <c r="AL504" s="11"/>
      <c r="AM504" s="11"/>
      <c r="AP504" s="11"/>
      <c r="AQ504" s="11"/>
      <c r="AR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F505" s="11"/>
      <c r="AG505" s="11"/>
      <c r="AH505" s="11"/>
      <c r="AK505" s="11"/>
      <c r="AL505" s="11"/>
      <c r="AM505" s="11"/>
      <c r="AP505" s="11"/>
      <c r="AQ505" s="11"/>
      <c r="AR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F506" s="11"/>
      <c r="AG506" s="11"/>
      <c r="AH506" s="11"/>
      <c r="AK506" s="11"/>
      <c r="AL506" s="11"/>
      <c r="AM506" s="11"/>
      <c r="AP506" s="11"/>
      <c r="AQ506" s="11"/>
      <c r="AR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F507" s="11"/>
      <c r="AG507" s="11"/>
      <c r="AH507" s="11"/>
      <c r="AK507" s="11"/>
      <c r="AL507" s="11"/>
      <c r="AM507" s="11"/>
      <c r="AP507" s="11"/>
      <c r="AQ507" s="11"/>
      <c r="AR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F508" s="11"/>
      <c r="AG508" s="11"/>
      <c r="AH508" s="11"/>
      <c r="AK508" s="11"/>
      <c r="AL508" s="11"/>
      <c r="AM508" s="11"/>
      <c r="AP508" s="11"/>
      <c r="AQ508" s="11"/>
      <c r="AR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F509" s="11"/>
      <c r="AG509" s="11"/>
      <c r="AH509" s="11"/>
      <c r="AK509" s="11"/>
      <c r="AL509" s="11"/>
      <c r="AM509" s="11"/>
      <c r="AP509" s="11"/>
      <c r="AQ509" s="11"/>
      <c r="AR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F510" s="11"/>
      <c r="AG510" s="11"/>
      <c r="AH510" s="11"/>
      <c r="AK510" s="11"/>
      <c r="AL510" s="11"/>
      <c r="AM510" s="11"/>
      <c r="AP510" s="11"/>
      <c r="AQ510" s="11"/>
      <c r="AR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F511" s="11"/>
      <c r="AG511" s="11"/>
      <c r="AH511" s="11"/>
      <c r="AK511" s="11"/>
      <c r="AL511" s="11"/>
      <c r="AM511" s="11"/>
      <c r="AP511" s="11"/>
      <c r="AQ511" s="11"/>
      <c r="AR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F512" s="11"/>
      <c r="AG512" s="11"/>
      <c r="AH512" s="11"/>
      <c r="AK512" s="11"/>
      <c r="AL512" s="11"/>
      <c r="AM512" s="11"/>
      <c r="AP512" s="11"/>
      <c r="AQ512" s="11"/>
      <c r="AR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F513" s="11"/>
      <c r="AG513" s="11"/>
      <c r="AH513" s="11"/>
      <c r="AK513" s="11"/>
      <c r="AL513" s="11"/>
      <c r="AM513" s="11"/>
      <c r="AP513" s="11"/>
      <c r="AQ513" s="11"/>
      <c r="AR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F514" s="11"/>
      <c r="AG514" s="11"/>
      <c r="AH514" s="11"/>
      <c r="AK514" s="11"/>
      <c r="AL514" s="11"/>
      <c r="AM514" s="11"/>
      <c r="AP514" s="11"/>
      <c r="AQ514" s="11"/>
      <c r="AR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F515" s="11"/>
      <c r="AG515" s="11"/>
      <c r="AH515" s="11"/>
      <c r="AK515" s="11"/>
      <c r="AL515" s="11"/>
      <c r="AM515" s="11"/>
      <c r="AP515" s="11"/>
      <c r="AQ515" s="11"/>
      <c r="AR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F516" s="11"/>
      <c r="AG516" s="11"/>
      <c r="AH516" s="11"/>
      <c r="AK516" s="11"/>
      <c r="AL516" s="11"/>
      <c r="AM516" s="11"/>
      <c r="AP516" s="11"/>
      <c r="AQ516" s="11"/>
      <c r="AR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F517" s="11"/>
      <c r="AG517" s="11"/>
      <c r="AH517" s="11"/>
      <c r="AK517" s="11"/>
      <c r="AL517" s="11"/>
      <c r="AM517" s="11"/>
      <c r="AP517" s="11"/>
      <c r="AQ517" s="11"/>
      <c r="AR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F518" s="11"/>
      <c r="AG518" s="11"/>
      <c r="AH518" s="11"/>
      <c r="AK518" s="11"/>
      <c r="AL518" s="11"/>
      <c r="AM518" s="11"/>
      <c r="AP518" s="11"/>
      <c r="AQ518" s="11"/>
      <c r="AR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F519" s="11"/>
      <c r="AG519" s="11"/>
      <c r="AH519" s="11"/>
      <c r="AK519" s="11"/>
      <c r="AL519" s="11"/>
      <c r="AM519" s="11"/>
      <c r="AP519" s="11"/>
      <c r="AQ519" s="11"/>
      <c r="AR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F520" s="11"/>
      <c r="AG520" s="11"/>
      <c r="AH520" s="11"/>
      <c r="AK520" s="11"/>
      <c r="AL520" s="11"/>
      <c r="AM520" s="11"/>
      <c r="AP520" s="11"/>
      <c r="AQ520" s="11"/>
      <c r="AR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F521" s="11"/>
      <c r="AG521" s="11"/>
      <c r="AH521" s="11"/>
      <c r="AK521" s="11"/>
      <c r="AL521" s="11"/>
      <c r="AM521" s="11"/>
      <c r="AP521" s="11"/>
      <c r="AQ521" s="11"/>
      <c r="AR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F522" s="11"/>
      <c r="AG522" s="11"/>
      <c r="AH522" s="11"/>
      <c r="AK522" s="11"/>
      <c r="AL522" s="11"/>
      <c r="AM522" s="11"/>
      <c r="AP522" s="11"/>
      <c r="AQ522" s="11"/>
      <c r="AR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F523" s="11"/>
      <c r="AG523" s="11"/>
      <c r="AH523" s="11"/>
      <c r="AK523" s="11"/>
      <c r="AL523" s="11"/>
      <c r="AM523" s="11"/>
      <c r="AP523" s="11"/>
      <c r="AQ523" s="11"/>
      <c r="AR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F524" s="11"/>
      <c r="AG524" s="11"/>
      <c r="AH524" s="11"/>
      <c r="AK524" s="11"/>
      <c r="AL524" s="11"/>
      <c r="AM524" s="11"/>
      <c r="AP524" s="11"/>
      <c r="AQ524" s="11"/>
      <c r="AR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F525" s="11"/>
      <c r="AG525" s="11"/>
      <c r="AH525" s="11"/>
      <c r="AK525" s="11"/>
      <c r="AL525" s="11"/>
      <c r="AM525" s="11"/>
      <c r="AP525" s="11"/>
      <c r="AQ525" s="11"/>
      <c r="AR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F526" s="11"/>
      <c r="AG526" s="11"/>
      <c r="AH526" s="11"/>
      <c r="AK526" s="11"/>
      <c r="AL526" s="11"/>
      <c r="AM526" s="11"/>
      <c r="AP526" s="11"/>
      <c r="AQ526" s="11"/>
      <c r="AR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F527" s="11"/>
      <c r="AG527" s="11"/>
      <c r="AH527" s="11"/>
      <c r="AK527" s="11"/>
      <c r="AL527" s="11"/>
      <c r="AM527" s="11"/>
      <c r="AP527" s="11"/>
      <c r="AQ527" s="11"/>
      <c r="AR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F528" s="11"/>
      <c r="AG528" s="11"/>
      <c r="AH528" s="11"/>
      <c r="AK528" s="11"/>
      <c r="AL528" s="11"/>
      <c r="AM528" s="11"/>
      <c r="AP528" s="11"/>
      <c r="AQ528" s="11"/>
      <c r="AR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F529" s="11"/>
      <c r="AG529" s="11"/>
      <c r="AH529" s="11"/>
      <c r="AK529" s="11"/>
      <c r="AL529" s="11"/>
      <c r="AM529" s="11"/>
      <c r="AP529" s="11"/>
      <c r="AQ529" s="11"/>
      <c r="AR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F530" s="11"/>
      <c r="AG530" s="11"/>
      <c r="AH530" s="11"/>
      <c r="AK530" s="11"/>
      <c r="AL530" s="11"/>
      <c r="AM530" s="11"/>
      <c r="AP530" s="11"/>
      <c r="AQ530" s="11"/>
      <c r="AR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F531" s="11"/>
      <c r="AG531" s="11"/>
      <c r="AH531" s="11"/>
      <c r="AK531" s="11"/>
      <c r="AL531" s="11"/>
      <c r="AM531" s="11"/>
      <c r="AP531" s="11"/>
      <c r="AQ531" s="11"/>
      <c r="AR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F532" s="11"/>
      <c r="AG532" s="11"/>
      <c r="AH532" s="11"/>
      <c r="AK532" s="11"/>
      <c r="AL532" s="11"/>
      <c r="AM532" s="11"/>
      <c r="AP532" s="11"/>
      <c r="AQ532" s="11"/>
      <c r="AR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F533" s="11"/>
      <c r="AG533" s="11"/>
      <c r="AH533" s="11"/>
      <c r="AK533" s="11"/>
      <c r="AL533" s="11"/>
      <c r="AM533" s="11"/>
      <c r="AP533" s="11"/>
      <c r="AQ533" s="11"/>
      <c r="AR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F534" s="11"/>
      <c r="AG534" s="11"/>
      <c r="AH534" s="11"/>
      <c r="AK534" s="11"/>
      <c r="AL534" s="11"/>
      <c r="AM534" s="11"/>
      <c r="AP534" s="11"/>
      <c r="AQ534" s="11"/>
      <c r="AR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F535" s="11"/>
      <c r="AG535" s="11"/>
      <c r="AH535" s="11"/>
      <c r="AK535" s="11"/>
      <c r="AL535" s="11"/>
      <c r="AM535" s="11"/>
      <c r="AP535" s="11"/>
      <c r="AQ535" s="11"/>
      <c r="AR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F536" s="11"/>
      <c r="AG536" s="11"/>
      <c r="AH536" s="11"/>
      <c r="AK536" s="11"/>
      <c r="AL536" s="11"/>
      <c r="AM536" s="11"/>
      <c r="AP536" s="11"/>
      <c r="AQ536" s="11"/>
      <c r="AR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F537" s="11"/>
      <c r="AG537" s="11"/>
      <c r="AH537" s="11"/>
      <c r="AK537" s="11"/>
      <c r="AL537" s="11"/>
      <c r="AM537" s="11"/>
      <c r="AP537" s="11"/>
      <c r="AQ537" s="11"/>
      <c r="AR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F538" s="11"/>
      <c r="AG538" s="11"/>
      <c r="AH538" s="11"/>
      <c r="AK538" s="11"/>
      <c r="AL538" s="11"/>
      <c r="AM538" s="11"/>
      <c r="AP538" s="11"/>
      <c r="AQ538" s="11"/>
      <c r="AR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F539" s="11"/>
      <c r="AG539" s="11"/>
      <c r="AH539" s="11"/>
      <c r="AK539" s="11"/>
      <c r="AL539" s="11"/>
      <c r="AM539" s="11"/>
      <c r="AP539" s="11"/>
      <c r="AQ539" s="11"/>
      <c r="AR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F540" s="11"/>
      <c r="AG540" s="11"/>
      <c r="AH540" s="11"/>
      <c r="AK540" s="11"/>
      <c r="AL540" s="11"/>
      <c r="AM540" s="11"/>
      <c r="AP540" s="11"/>
      <c r="AQ540" s="11"/>
      <c r="AR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F541" s="11"/>
      <c r="AG541" s="11"/>
      <c r="AH541" s="11"/>
      <c r="AK541" s="11"/>
      <c r="AL541" s="11"/>
      <c r="AM541" s="11"/>
      <c r="AP541" s="11"/>
      <c r="AQ541" s="11"/>
      <c r="AR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F542" s="11"/>
      <c r="AG542" s="11"/>
      <c r="AH542" s="11"/>
      <c r="AK542" s="11"/>
      <c r="AL542" s="11"/>
      <c r="AM542" s="11"/>
      <c r="AP542" s="11"/>
      <c r="AQ542" s="11"/>
      <c r="AR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F543" s="11"/>
      <c r="AG543" s="11"/>
      <c r="AH543" s="11"/>
      <c r="AK543" s="11"/>
      <c r="AL543" s="11"/>
      <c r="AM543" s="11"/>
      <c r="AP543" s="11"/>
      <c r="AQ543" s="11"/>
      <c r="AR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F544" s="11"/>
      <c r="AG544" s="11"/>
      <c r="AH544" s="11"/>
      <c r="AK544" s="11"/>
      <c r="AL544" s="11"/>
      <c r="AM544" s="11"/>
      <c r="AP544" s="11"/>
      <c r="AQ544" s="11"/>
      <c r="AR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F545" s="11"/>
      <c r="AG545" s="11"/>
      <c r="AH545" s="11"/>
      <c r="AK545" s="11"/>
      <c r="AL545" s="11"/>
      <c r="AM545" s="11"/>
      <c r="AP545" s="11"/>
      <c r="AQ545" s="11"/>
      <c r="AR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F546" s="11"/>
      <c r="AG546" s="11"/>
      <c r="AH546" s="11"/>
      <c r="AK546" s="11"/>
      <c r="AL546" s="11"/>
      <c r="AM546" s="11"/>
      <c r="AP546" s="11"/>
      <c r="AQ546" s="11"/>
      <c r="AR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F547" s="11"/>
      <c r="AG547" s="11"/>
      <c r="AH547" s="11"/>
      <c r="AK547" s="11"/>
      <c r="AL547" s="11"/>
      <c r="AM547" s="11"/>
      <c r="AP547" s="11"/>
      <c r="AQ547" s="11"/>
      <c r="AR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F548" s="11"/>
      <c r="AG548" s="11"/>
      <c r="AH548" s="11"/>
      <c r="AK548" s="11"/>
      <c r="AL548" s="11"/>
      <c r="AM548" s="11"/>
      <c r="AP548" s="11"/>
      <c r="AQ548" s="11"/>
      <c r="AR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F549" s="11"/>
      <c r="AG549" s="11"/>
      <c r="AH549" s="11"/>
      <c r="AK549" s="11"/>
      <c r="AL549" s="11"/>
      <c r="AM549" s="11"/>
      <c r="AP549" s="11"/>
      <c r="AQ549" s="11"/>
      <c r="AR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F550" s="11"/>
      <c r="AG550" s="11"/>
      <c r="AH550" s="11"/>
      <c r="AK550" s="11"/>
      <c r="AL550" s="11"/>
      <c r="AM550" s="11"/>
      <c r="AP550" s="11"/>
      <c r="AQ550" s="11"/>
      <c r="AR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F551" s="11"/>
      <c r="AG551" s="11"/>
      <c r="AH551" s="11"/>
      <c r="AK551" s="11"/>
      <c r="AL551" s="11"/>
      <c r="AM551" s="11"/>
      <c r="AP551" s="11"/>
      <c r="AQ551" s="11"/>
      <c r="AR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F552" s="11"/>
      <c r="AG552" s="11"/>
      <c r="AH552" s="11"/>
      <c r="AK552" s="11"/>
      <c r="AL552" s="11"/>
      <c r="AM552" s="11"/>
      <c r="AP552" s="11"/>
      <c r="AQ552" s="11"/>
      <c r="AR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F553" s="11"/>
      <c r="AG553" s="11"/>
      <c r="AH553" s="11"/>
      <c r="AK553" s="11"/>
      <c r="AL553" s="11"/>
      <c r="AM553" s="11"/>
      <c r="AP553" s="11"/>
      <c r="AQ553" s="11"/>
      <c r="AR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F554" s="11"/>
      <c r="AG554" s="11"/>
      <c r="AH554" s="11"/>
      <c r="AK554" s="11"/>
      <c r="AL554" s="11"/>
      <c r="AM554" s="11"/>
      <c r="AP554" s="11"/>
      <c r="AQ554" s="11"/>
      <c r="AR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F555" s="11"/>
      <c r="AG555" s="11"/>
      <c r="AH555" s="11"/>
      <c r="AK555" s="11"/>
      <c r="AL555" s="11"/>
      <c r="AM555" s="11"/>
      <c r="AP555" s="11"/>
      <c r="AQ555" s="11"/>
      <c r="AR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F556" s="11"/>
      <c r="AG556" s="11"/>
      <c r="AH556" s="11"/>
      <c r="AK556" s="11"/>
      <c r="AL556" s="11"/>
      <c r="AM556" s="11"/>
      <c r="AP556" s="11"/>
      <c r="AQ556" s="11"/>
      <c r="AR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F557" s="11"/>
      <c r="AG557" s="11"/>
      <c r="AH557" s="11"/>
      <c r="AK557" s="11"/>
      <c r="AL557" s="11"/>
      <c r="AM557" s="11"/>
      <c r="AP557" s="11"/>
      <c r="AQ557" s="11"/>
      <c r="AR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F558" s="11"/>
      <c r="AG558" s="11"/>
      <c r="AH558" s="11"/>
      <c r="AK558" s="11"/>
      <c r="AL558" s="11"/>
      <c r="AM558" s="11"/>
      <c r="AP558" s="11"/>
      <c r="AQ558" s="11"/>
      <c r="AR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F559" s="11"/>
      <c r="AG559" s="11"/>
      <c r="AH559" s="11"/>
      <c r="AK559" s="11"/>
      <c r="AL559" s="11"/>
      <c r="AM559" s="11"/>
      <c r="AP559" s="11"/>
      <c r="AQ559" s="11"/>
      <c r="AR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F560" s="11"/>
      <c r="AG560" s="11"/>
      <c r="AH560" s="11"/>
      <c r="AK560" s="11"/>
      <c r="AL560" s="11"/>
      <c r="AM560" s="11"/>
      <c r="AP560" s="11"/>
      <c r="AQ560" s="11"/>
      <c r="AR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F561" s="11"/>
      <c r="AG561" s="11"/>
      <c r="AH561" s="11"/>
      <c r="AK561" s="11"/>
      <c r="AL561" s="11"/>
      <c r="AM561" s="11"/>
      <c r="AP561" s="11"/>
      <c r="AQ561" s="11"/>
      <c r="AR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F562" s="11"/>
      <c r="AG562" s="11"/>
      <c r="AH562" s="11"/>
      <c r="AK562" s="11"/>
      <c r="AL562" s="11"/>
      <c r="AM562" s="11"/>
      <c r="AP562" s="11"/>
      <c r="AQ562" s="11"/>
      <c r="AR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F563" s="11"/>
      <c r="AG563" s="11"/>
      <c r="AH563" s="11"/>
      <c r="AK563" s="11"/>
      <c r="AL563" s="11"/>
      <c r="AM563" s="11"/>
      <c r="AP563" s="11"/>
      <c r="AQ563" s="11"/>
      <c r="AR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F564" s="11"/>
      <c r="AG564" s="11"/>
      <c r="AH564" s="11"/>
      <c r="AK564" s="11"/>
      <c r="AL564" s="11"/>
      <c r="AM564" s="11"/>
      <c r="AP564" s="11"/>
      <c r="AQ564" s="11"/>
      <c r="AR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F565" s="11"/>
      <c r="AG565" s="11"/>
      <c r="AH565" s="11"/>
      <c r="AK565" s="11"/>
      <c r="AL565" s="11"/>
      <c r="AM565" s="11"/>
      <c r="AP565" s="11"/>
      <c r="AQ565" s="11"/>
      <c r="AR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F566" s="11"/>
      <c r="AG566" s="11"/>
      <c r="AH566" s="11"/>
      <c r="AK566" s="11"/>
      <c r="AL566" s="11"/>
      <c r="AM566" s="11"/>
      <c r="AP566" s="11"/>
      <c r="AQ566" s="11"/>
      <c r="AR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F567" s="11"/>
      <c r="AG567" s="11"/>
      <c r="AH567" s="11"/>
      <c r="AK567" s="11"/>
      <c r="AL567" s="11"/>
      <c r="AM567" s="11"/>
      <c r="AP567" s="11"/>
      <c r="AQ567" s="11"/>
      <c r="AR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F568" s="11"/>
      <c r="AG568" s="11"/>
      <c r="AH568" s="11"/>
      <c r="AK568" s="11"/>
      <c r="AL568" s="11"/>
      <c r="AM568" s="11"/>
      <c r="AP568" s="11"/>
      <c r="AQ568" s="11"/>
      <c r="AR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F569" s="11"/>
      <c r="AG569" s="11"/>
      <c r="AH569" s="11"/>
      <c r="AK569" s="11"/>
      <c r="AL569" s="11"/>
      <c r="AM569" s="11"/>
      <c r="AP569" s="11"/>
      <c r="AQ569" s="11"/>
      <c r="AR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F570" s="11"/>
      <c r="AG570" s="11"/>
      <c r="AH570" s="11"/>
      <c r="AK570" s="11"/>
      <c r="AL570" s="11"/>
      <c r="AM570" s="11"/>
      <c r="AP570" s="11"/>
      <c r="AQ570" s="11"/>
      <c r="AR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F571" s="11"/>
      <c r="AG571" s="11"/>
      <c r="AH571" s="11"/>
      <c r="AK571" s="11"/>
      <c r="AL571" s="11"/>
      <c r="AM571" s="11"/>
      <c r="AP571" s="11"/>
      <c r="AQ571" s="11"/>
      <c r="AR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F572" s="11"/>
      <c r="AG572" s="11"/>
      <c r="AH572" s="11"/>
      <c r="AK572" s="11"/>
      <c r="AL572" s="11"/>
      <c r="AM572" s="11"/>
      <c r="AP572" s="11"/>
      <c r="AQ572" s="11"/>
      <c r="AR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F573" s="11"/>
      <c r="AG573" s="11"/>
      <c r="AH573" s="11"/>
      <c r="AK573" s="11"/>
      <c r="AL573" s="11"/>
      <c r="AM573" s="11"/>
      <c r="AP573" s="11"/>
      <c r="AQ573" s="11"/>
      <c r="AR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F574" s="11"/>
      <c r="AG574" s="11"/>
      <c r="AH574" s="11"/>
      <c r="AK574" s="11"/>
      <c r="AL574" s="11"/>
      <c r="AM574" s="11"/>
      <c r="AP574" s="11"/>
      <c r="AQ574" s="11"/>
      <c r="AR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F575" s="11"/>
      <c r="AG575" s="11"/>
      <c r="AH575" s="11"/>
      <c r="AK575" s="11"/>
      <c r="AL575" s="11"/>
      <c r="AM575" s="11"/>
      <c r="AP575" s="11"/>
      <c r="AQ575" s="11"/>
      <c r="AR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F576" s="11"/>
      <c r="AG576" s="11"/>
      <c r="AH576" s="11"/>
      <c r="AK576" s="11"/>
      <c r="AL576" s="11"/>
      <c r="AM576" s="11"/>
      <c r="AP576" s="11"/>
      <c r="AQ576" s="11"/>
      <c r="AR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F577" s="11"/>
      <c r="AG577" s="11"/>
      <c r="AH577" s="11"/>
      <c r="AK577" s="11"/>
      <c r="AL577" s="11"/>
      <c r="AM577" s="11"/>
      <c r="AP577" s="11"/>
      <c r="AQ577" s="11"/>
      <c r="AR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F578" s="11"/>
      <c r="AG578" s="11"/>
      <c r="AH578" s="11"/>
      <c r="AK578" s="11"/>
      <c r="AL578" s="11"/>
      <c r="AM578" s="11"/>
      <c r="AP578" s="11"/>
      <c r="AQ578" s="11"/>
      <c r="AR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F579" s="11"/>
      <c r="AG579" s="11"/>
      <c r="AH579" s="11"/>
      <c r="AK579" s="11"/>
      <c r="AL579" s="11"/>
      <c r="AM579" s="11"/>
      <c r="AP579" s="11"/>
      <c r="AQ579" s="11"/>
      <c r="AR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F580" s="11"/>
      <c r="AG580" s="11"/>
      <c r="AH580" s="11"/>
      <c r="AK580" s="11"/>
      <c r="AL580" s="11"/>
      <c r="AM580" s="11"/>
      <c r="AP580" s="11"/>
      <c r="AQ580" s="11"/>
      <c r="AR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F581" s="11"/>
      <c r="AG581" s="11"/>
      <c r="AH581" s="11"/>
      <c r="AK581" s="11"/>
      <c r="AL581" s="11"/>
      <c r="AM581" s="11"/>
      <c r="AP581" s="11"/>
      <c r="AQ581" s="11"/>
      <c r="AR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F582" s="11"/>
      <c r="AG582" s="11"/>
      <c r="AH582" s="11"/>
      <c r="AK582" s="11"/>
      <c r="AL582" s="11"/>
      <c r="AM582" s="11"/>
      <c r="AP582" s="11"/>
      <c r="AQ582" s="11"/>
      <c r="AR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F583" s="11"/>
      <c r="AG583" s="11"/>
      <c r="AH583" s="11"/>
      <c r="AK583" s="11"/>
      <c r="AL583" s="11"/>
      <c r="AM583" s="11"/>
      <c r="AP583" s="11"/>
      <c r="AQ583" s="11"/>
      <c r="AR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F584" s="11"/>
      <c r="AG584" s="11"/>
      <c r="AH584" s="11"/>
      <c r="AK584" s="11"/>
      <c r="AL584" s="11"/>
      <c r="AM584" s="11"/>
      <c r="AP584" s="11"/>
      <c r="AQ584" s="11"/>
      <c r="AR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F585" s="11"/>
      <c r="AG585" s="11"/>
      <c r="AH585" s="11"/>
      <c r="AK585" s="11"/>
      <c r="AL585" s="11"/>
      <c r="AM585" s="11"/>
      <c r="AP585" s="11"/>
      <c r="AQ585" s="11"/>
      <c r="AR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F586" s="11"/>
      <c r="AG586" s="11"/>
      <c r="AH586" s="11"/>
      <c r="AK586" s="11"/>
      <c r="AL586" s="11"/>
      <c r="AM586" s="11"/>
      <c r="AP586" s="11"/>
      <c r="AQ586" s="11"/>
      <c r="AR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F587" s="11"/>
      <c r="AG587" s="11"/>
      <c r="AH587" s="11"/>
      <c r="AK587" s="11"/>
      <c r="AL587" s="11"/>
      <c r="AM587" s="11"/>
      <c r="AP587" s="11"/>
      <c r="AQ587" s="11"/>
      <c r="AR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F588" s="11"/>
      <c r="AG588" s="11"/>
      <c r="AH588" s="11"/>
      <c r="AK588" s="11"/>
      <c r="AL588" s="11"/>
      <c r="AM588" s="11"/>
      <c r="AP588" s="11"/>
      <c r="AQ588" s="11"/>
      <c r="AR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F589" s="11"/>
      <c r="AG589" s="11"/>
      <c r="AH589" s="11"/>
      <c r="AK589" s="11"/>
      <c r="AL589" s="11"/>
      <c r="AM589" s="11"/>
      <c r="AP589" s="11"/>
      <c r="AQ589" s="11"/>
      <c r="AR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F590" s="11"/>
      <c r="AG590" s="11"/>
      <c r="AH590" s="11"/>
      <c r="AK590" s="11"/>
      <c r="AL590" s="11"/>
      <c r="AM590" s="11"/>
      <c r="AP590" s="11"/>
      <c r="AQ590" s="11"/>
      <c r="AR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F591" s="11"/>
      <c r="AG591" s="11"/>
      <c r="AH591" s="11"/>
      <c r="AK591" s="11"/>
      <c r="AL591" s="11"/>
      <c r="AM591" s="11"/>
      <c r="AP591" s="11"/>
      <c r="AQ591" s="11"/>
      <c r="AR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F592" s="11"/>
      <c r="AG592" s="11"/>
      <c r="AH592" s="11"/>
      <c r="AK592" s="11"/>
      <c r="AL592" s="11"/>
      <c r="AM592" s="11"/>
      <c r="AP592" s="11"/>
      <c r="AQ592" s="11"/>
      <c r="AR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F593" s="11"/>
      <c r="AG593" s="11"/>
      <c r="AH593" s="11"/>
      <c r="AK593" s="11"/>
      <c r="AL593" s="11"/>
      <c r="AM593" s="11"/>
      <c r="AP593" s="11"/>
      <c r="AQ593" s="11"/>
      <c r="AR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F594" s="11"/>
      <c r="AG594" s="11"/>
      <c r="AH594" s="11"/>
      <c r="AK594" s="11"/>
      <c r="AL594" s="11"/>
      <c r="AM594" s="11"/>
      <c r="AP594" s="11"/>
      <c r="AQ594" s="11"/>
      <c r="AR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F595" s="11"/>
      <c r="AG595" s="11"/>
      <c r="AH595" s="11"/>
      <c r="AK595" s="11"/>
      <c r="AL595" s="11"/>
      <c r="AM595" s="11"/>
      <c r="AP595" s="11"/>
      <c r="AQ595" s="11"/>
      <c r="AR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F596" s="11"/>
      <c r="AG596" s="11"/>
      <c r="AH596" s="11"/>
      <c r="AK596" s="11"/>
      <c r="AL596" s="11"/>
      <c r="AM596" s="11"/>
      <c r="AP596" s="11"/>
      <c r="AQ596" s="11"/>
      <c r="AR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F597" s="11"/>
      <c r="AG597" s="11"/>
      <c r="AH597" s="11"/>
      <c r="AK597" s="11"/>
      <c r="AL597" s="11"/>
      <c r="AM597" s="11"/>
      <c r="AP597" s="11"/>
      <c r="AQ597" s="11"/>
      <c r="AR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F598" s="11"/>
      <c r="AG598" s="11"/>
      <c r="AH598" s="11"/>
      <c r="AK598" s="11"/>
      <c r="AL598" s="11"/>
      <c r="AM598" s="11"/>
      <c r="AP598" s="11"/>
      <c r="AQ598" s="11"/>
      <c r="AR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F599" s="11"/>
      <c r="AG599" s="11"/>
      <c r="AH599" s="11"/>
      <c r="AK599" s="11"/>
      <c r="AL599" s="11"/>
      <c r="AM599" s="11"/>
      <c r="AP599" s="11"/>
      <c r="AQ599" s="11"/>
      <c r="AR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F600" s="11"/>
      <c r="AG600" s="11"/>
      <c r="AH600" s="11"/>
      <c r="AK600" s="11"/>
      <c r="AL600" s="11"/>
      <c r="AM600" s="11"/>
      <c r="AP600" s="11"/>
      <c r="AQ600" s="11"/>
      <c r="AR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F601" s="11"/>
      <c r="AG601" s="11"/>
      <c r="AH601" s="11"/>
      <c r="AK601" s="11"/>
      <c r="AL601" s="11"/>
      <c r="AM601" s="11"/>
      <c r="AP601" s="11"/>
      <c r="AQ601" s="11"/>
      <c r="AR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F602" s="11"/>
      <c r="AG602" s="11"/>
      <c r="AH602" s="11"/>
      <c r="AK602" s="11"/>
      <c r="AL602" s="11"/>
      <c r="AM602" s="11"/>
      <c r="AP602" s="11"/>
      <c r="AQ602" s="11"/>
      <c r="AR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F603" s="11"/>
      <c r="AG603" s="11"/>
      <c r="AH603" s="11"/>
      <c r="AK603" s="11"/>
      <c r="AL603" s="11"/>
      <c r="AM603" s="11"/>
      <c r="AP603" s="11"/>
      <c r="AQ603" s="11"/>
      <c r="AR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F604" s="11"/>
      <c r="AG604" s="11"/>
      <c r="AH604" s="11"/>
      <c r="AK604" s="11"/>
      <c r="AL604" s="11"/>
      <c r="AM604" s="11"/>
      <c r="AP604" s="11"/>
      <c r="AQ604" s="11"/>
      <c r="AR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F605" s="11"/>
      <c r="AG605" s="11"/>
      <c r="AH605" s="11"/>
      <c r="AK605" s="11"/>
      <c r="AL605" s="11"/>
      <c r="AM605" s="11"/>
      <c r="AP605" s="11"/>
      <c r="AQ605" s="11"/>
      <c r="AR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F606" s="11"/>
      <c r="AG606" s="11"/>
      <c r="AH606" s="11"/>
      <c r="AK606" s="11"/>
      <c r="AL606" s="11"/>
      <c r="AM606" s="11"/>
      <c r="AP606" s="11"/>
      <c r="AQ606" s="11"/>
      <c r="AR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F607" s="11"/>
      <c r="AG607" s="11"/>
      <c r="AH607" s="11"/>
      <c r="AK607" s="11"/>
      <c r="AL607" s="11"/>
      <c r="AM607" s="11"/>
      <c r="AP607" s="11"/>
      <c r="AQ607" s="11"/>
      <c r="AR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F608" s="11"/>
      <c r="AG608" s="11"/>
      <c r="AH608" s="11"/>
      <c r="AK608" s="11"/>
      <c r="AL608" s="11"/>
      <c r="AM608" s="11"/>
      <c r="AP608" s="11"/>
      <c r="AQ608" s="11"/>
      <c r="AR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F609" s="11"/>
      <c r="AG609" s="11"/>
      <c r="AH609" s="11"/>
      <c r="AK609" s="11"/>
      <c r="AL609" s="11"/>
      <c r="AM609" s="11"/>
      <c r="AP609" s="11"/>
      <c r="AQ609" s="11"/>
      <c r="AR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F610" s="11"/>
      <c r="AG610" s="11"/>
      <c r="AH610" s="11"/>
      <c r="AK610" s="11"/>
      <c r="AL610" s="11"/>
      <c r="AM610" s="11"/>
      <c r="AP610" s="11"/>
      <c r="AQ610" s="11"/>
      <c r="AR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F611" s="11"/>
      <c r="AG611" s="11"/>
      <c r="AH611" s="11"/>
      <c r="AK611" s="11"/>
      <c r="AL611" s="11"/>
      <c r="AM611" s="11"/>
      <c r="AP611" s="11"/>
      <c r="AQ611" s="11"/>
      <c r="AR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F612" s="11"/>
      <c r="AG612" s="11"/>
      <c r="AH612" s="11"/>
      <c r="AK612" s="11"/>
      <c r="AL612" s="11"/>
      <c r="AM612" s="11"/>
      <c r="AP612" s="11"/>
      <c r="AQ612" s="11"/>
      <c r="AR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F613" s="11"/>
      <c r="AG613" s="11"/>
      <c r="AH613" s="11"/>
      <c r="AK613" s="11"/>
      <c r="AL613" s="11"/>
      <c r="AM613" s="11"/>
      <c r="AP613" s="11"/>
      <c r="AQ613" s="11"/>
      <c r="AR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F614" s="11"/>
      <c r="AG614" s="11"/>
      <c r="AH614" s="11"/>
      <c r="AK614" s="11"/>
      <c r="AL614" s="11"/>
      <c r="AM614" s="11"/>
      <c r="AP614" s="11"/>
      <c r="AQ614" s="11"/>
      <c r="AR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F615" s="11"/>
      <c r="AG615" s="11"/>
      <c r="AH615" s="11"/>
      <c r="AK615" s="11"/>
      <c r="AL615" s="11"/>
      <c r="AM615" s="11"/>
      <c r="AP615" s="11"/>
      <c r="AQ615" s="11"/>
      <c r="AR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F616" s="11"/>
      <c r="AG616" s="11"/>
      <c r="AH616" s="11"/>
      <c r="AK616" s="11"/>
      <c r="AL616" s="11"/>
      <c r="AM616" s="11"/>
      <c r="AP616" s="11"/>
      <c r="AQ616" s="11"/>
      <c r="AR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F617" s="11"/>
      <c r="AG617" s="11"/>
      <c r="AH617" s="11"/>
      <c r="AK617" s="11"/>
      <c r="AL617" s="11"/>
      <c r="AM617" s="11"/>
      <c r="AP617" s="11"/>
      <c r="AQ617" s="11"/>
      <c r="AR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F618" s="11"/>
      <c r="AG618" s="11"/>
      <c r="AH618" s="11"/>
      <c r="AK618" s="11"/>
      <c r="AL618" s="11"/>
      <c r="AM618" s="11"/>
      <c r="AP618" s="11"/>
      <c r="AQ618" s="11"/>
      <c r="AR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F619" s="11"/>
      <c r="AG619" s="11"/>
      <c r="AH619" s="11"/>
      <c r="AK619" s="11"/>
      <c r="AL619" s="11"/>
      <c r="AM619" s="11"/>
      <c r="AP619" s="11"/>
      <c r="AQ619" s="11"/>
      <c r="AR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F620" s="11"/>
      <c r="AG620" s="11"/>
      <c r="AH620" s="11"/>
      <c r="AK620" s="11"/>
      <c r="AL620" s="11"/>
      <c r="AM620" s="11"/>
      <c r="AP620" s="11"/>
      <c r="AQ620" s="11"/>
      <c r="AR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F621" s="11"/>
      <c r="AG621" s="11"/>
      <c r="AH621" s="11"/>
      <c r="AK621" s="11"/>
      <c r="AL621" s="11"/>
      <c r="AM621" s="11"/>
      <c r="AP621" s="11"/>
      <c r="AQ621" s="11"/>
      <c r="AR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F622" s="11"/>
      <c r="AG622" s="11"/>
      <c r="AH622" s="11"/>
      <c r="AK622" s="11"/>
      <c r="AL622" s="11"/>
      <c r="AM622" s="11"/>
      <c r="AP622" s="11"/>
      <c r="AQ622" s="11"/>
      <c r="AR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F623" s="11"/>
      <c r="AG623" s="11"/>
      <c r="AH623" s="11"/>
      <c r="AK623" s="11"/>
      <c r="AL623" s="11"/>
      <c r="AM623" s="11"/>
      <c r="AP623" s="11"/>
      <c r="AQ623" s="11"/>
      <c r="AR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F624" s="11"/>
      <c r="AG624" s="11"/>
      <c r="AH624" s="11"/>
      <c r="AK624" s="11"/>
      <c r="AL624" s="11"/>
      <c r="AM624" s="11"/>
      <c r="AP624" s="11"/>
      <c r="AQ624" s="11"/>
      <c r="AR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F625" s="11"/>
      <c r="AG625" s="11"/>
      <c r="AH625" s="11"/>
      <c r="AK625" s="11"/>
      <c r="AL625" s="11"/>
      <c r="AM625" s="11"/>
      <c r="AP625" s="11"/>
      <c r="AQ625" s="11"/>
      <c r="AR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F626" s="11"/>
      <c r="AG626" s="11"/>
      <c r="AH626" s="11"/>
      <c r="AK626" s="11"/>
      <c r="AL626" s="11"/>
      <c r="AM626" s="11"/>
      <c r="AP626" s="11"/>
      <c r="AQ626" s="11"/>
      <c r="AR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F627" s="11"/>
      <c r="AG627" s="11"/>
      <c r="AH627" s="11"/>
      <c r="AK627" s="11"/>
      <c r="AL627" s="11"/>
      <c r="AM627" s="11"/>
      <c r="AP627" s="11"/>
      <c r="AQ627" s="11"/>
      <c r="AR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F628" s="11"/>
      <c r="AG628" s="11"/>
      <c r="AH628" s="11"/>
      <c r="AK628" s="11"/>
      <c r="AL628" s="11"/>
      <c r="AM628" s="11"/>
      <c r="AP628" s="11"/>
      <c r="AQ628" s="11"/>
      <c r="AR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F629" s="11"/>
      <c r="AG629" s="11"/>
      <c r="AH629" s="11"/>
      <c r="AK629" s="11"/>
      <c r="AL629" s="11"/>
      <c r="AM629" s="11"/>
      <c r="AP629" s="11"/>
      <c r="AQ629" s="11"/>
      <c r="AR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F630" s="11"/>
      <c r="AG630" s="11"/>
      <c r="AH630" s="11"/>
      <c r="AK630" s="11"/>
      <c r="AL630" s="11"/>
      <c r="AM630" s="11"/>
      <c r="AP630" s="11"/>
      <c r="AQ630" s="11"/>
      <c r="AR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F631" s="11"/>
      <c r="AG631" s="11"/>
      <c r="AH631" s="11"/>
      <c r="AK631" s="11"/>
      <c r="AL631" s="11"/>
      <c r="AM631" s="11"/>
      <c r="AP631" s="11"/>
      <c r="AQ631" s="11"/>
      <c r="AR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F632" s="11"/>
      <c r="AG632" s="11"/>
      <c r="AH632" s="11"/>
      <c r="AK632" s="11"/>
      <c r="AL632" s="11"/>
      <c r="AM632" s="11"/>
      <c r="AP632" s="11"/>
      <c r="AQ632" s="11"/>
      <c r="AR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F633" s="11"/>
      <c r="AG633" s="11"/>
      <c r="AH633" s="11"/>
      <c r="AK633" s="11"/>
      <c r="AL633" s="11"/>
      <c r="AM633" s="11"/>
      <c r="AP633" s="11"/>
      <c r="AQ633" s="11"/>
      <c r="AR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F634" s="11"/>
      <c r="AG634" s="11"/>
      <c r="AH634" s="11"/>
      <c r="AK634" s="11"/>
      <c r="AL634" s="11"/>
      <c r="AM634" s="11"/>
      <c r="AP634" s="11"/>
      <c r="AQ634" s="11"/>
      <c r="AR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F635" s="11"/>
      <c r="AG635" s="11"/>
      <c r="AH635" s="11"/>
      <c r="AK635" s="11"/>
      <c r="AL635" s="11"/>
      <c r="AM635" s="11"/>
      <c r="AP635" s="11"/>
      <c r="AQ635" s="11"/>
      <c r="AR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F636" s="11"/>
      <c r="AG636" s="11"/>
      <c r="AH636" s="11"/>
      <c r="AK636" s="11"/>
      <c r="AL636" s="11"/>
      <c r="AM636" s="11"/>
      <c r="AP636" s="11"/>
      <c r="AQ636" s="11"/>
      <c r="AR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F637" s="11"/>
      <c r="AG637" s="11"/>
      <c r="AH637" s="11"/>
      <c r="AK637" s="11"/>
      <c r="AL637" s="11"/>
      <c r="AM637" s="11"/>
      <c r="AP637" s="11"/>
      <c r="AQ637" s="11"/>
      <c r="AR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F638" s="11"/>
      <c r="AG638" s="11"/>
      <c r="AH638" s="11"/>
      <c r="AK638" s="11"/>
      <c r="AL638" s="11"/>
      <c r="AM638" s="11"/>
      <c r="AP638" s="11"/>
      <c r="AQ638" s="11"/>
      <c r="AR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F639" s="11"/>
      <c r="AG639" s="11"/>
      <c r="AH639" s="11"/>
      <c r="AK639" s="11"/>
      <c r="AL639" s="11"/>
      <c r="AM639" s="11"/>
      <c r="AP639" s="11"/>
      <c r="AQ639" s="11"/>
      <c r="AR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F640" s="11"/>
      <c r="AG640" s="11"/>
      <c r="AH640" s="11"/>
      <c r="AK640" s="11"/>
      <c r="AL640" s="11"/>
      <c r="AM640" s="11"/>
      <c r="AP640" s="11"/>
      <c r="AQ640" s="11"/>
      <c r="AR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F641" s="11"/>
      <c r="AG641" s="11"/>
      <c r="AH641" s="11"/>
      <c r="AK641" s="11"/>
      <c r="AL641" s="11"/>
      <c r="AM641" s="11"/>
      <c r="AP641" s="11"/>
      <c r="AQ641" s="11"/>
      <c r="AR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F642" s="11"/>
      <c r="AG642" s="11"/>
      <c r="AH642" s="11"/>
      <c r="AK642" s="11"/>
      <c r="AL642" s="11"/>
      <c r="AM642" s="11"/>
      <c r="AP642" s="11"/>
      <c r="AQ642" s="11"/>
      <c r="AR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F643" s="11"/>
      <c r="AG643" s="11"/>
      <c r="AH643" s="11"/>
      <c r="AK643" s="11"/>
      <c r="AL643" s="11"/>
      <c r="AM643" s="11"/>
      <c r="AP643" s="11"/>
      <c r="AQ643" s="11"/>
      <c r="AR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F644" s="11"/>
      <c r="AG644" s="11"/>
      <c r="AH644" s="11"/>
      <c r="AK644" s="11"/>
      <c r="AL644" s="11"/>
      <c r="AM644" s="11"/>
      <c r="AP644" s="11"/>
      <c r="AQ644" s="11"/>
      <c r="AR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F645" s="11"/>
      <c r="AG645" s="11"/>
      <c r="AH645" s="11"/>
      <c r="AK645" s="11"/>
      <c r="AL645" s="11"/>
      <c r="AM645" s="11"/>
      <c r="AP645" s="11"/>
      <c r="AQ645" s="11"/>
      <c r="AR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F646" s="11"/>
      <c r="AG646" s="11"/>
      <c r="AH646" s="11"/>
      <c r="AK646" s="11"/>
      <c r="AL646" s="11"/>
      <c r="AM646" s="11"/>
      <c r="AP646" s="11"/>
      <c r="AQ646" s="11"/>
      <c r="AR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F647" s="11"/>
      <c r="AG647" s="11"/>
      <c r="AH647" s="11"/>
      <c r="AK647" s="11"/>
      <c r="AL647" s="11"/>
      <c r="AM647" s="11"/>
      <c r="AP647" s="11"/>
      <c r="AQ647" s="11"/>
      <c r="AR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F648" s="11"/>
      <c r="AG648" s="11"/>
      <c r="AH648" s="11"/>
      <c r="AK648" s="11"/>
      <c r="AL648" s="11"/>
      <c r="AM648" s="11"/>
      <c r="AP648" s="11"/>
      <c r="AQ648" s="11"/>
      <c r="AR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F649" s="11"/>
      <c r="AG649" s="11"/>
      <c r="AH649" s="11"/>
      <c r="AK649" s="11"/>
      <c r="AL649" s="11"/>
      <c r="AM649" s="11"/>
      <c r="AP649" s="11"/>
      <c r="AQ649" s="11"/>
      <c r="AR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F650" s="11"/>
      <c r="AG650" s="11"/>
      <c r="AH650" s="11"/>
      <c r="AK650" s="11"/>
      <c r="AL650" s="11"/>
      <c r="AM650" s="11"/>
      <c r="AP650" s="11"/>
      <c r="AQ650" s="11"/>
      <c r="AR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F651" s="11"/>
      <c r="AG651" s="11"/>
      <c r="AH651" s="11"/>
      <c r="AK651" s="11"/>
      <c r="AL651" s="11"/>
      <c r="AM651" s="11"/>
      <c r="AP651" s="11"/>
      <c r="AQ651" s="11"/>
      <c r="AR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F652" s="11"/>
      <c r="AG652" s="11"/>
      <c r="AH652" s="11"/>
      <c r="AK652" s="11"/>
      <c r="AL652" s="11"/>
      <c r="AM652" s="11"/>
      <c r="AP652" s="11"/>
      <c r="AQ652" s="11"/>
      <c r="AR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F653" s="11"/>
      <c r="AG653" s="11"/>
      <c r="AH653" s="11"/>
      <c r="AK653" s="11"/>
      <c r="AL653" s="11"/>
      <c r="AM653" s="11"/>
      <c r="AP653" s="11"/>
      <c r="AQ653" s="11"/>
      <c r="AR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F654" s="11"/>
      <c r="AG654" s="11"/>
      <c r="AH654" s="11"/>
      <c r="AK654" s="11"/>
      <c r="AL654" s="11"/>
      <c r="AM654" s="11"/>
      <c r="AP654" s="11"/>
      <c r="AQ654" s="11"/>
      <c r="AR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F655" s="11"/>
      <c r="AG655" s="11"/>
      <c r="AH655" s="11"/>
      <c r="AK655" s="11"/>
      <c r="AL655" s="11"/>
      <c r="AM655" s="11"/>
      <c r="AP655" s="11"/>
      <c r="AQ655" s="11"/>
      <c r="AR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F656" s="11"/>
      <c r="AG656" s="11"/>
      <c r="AH656" s="11"/>
      <c r="AK656" s="11"/>
      <c r="AL656" s="11"/>
      <c r="AM656" s="11"/>
      <c r="AP656" s="11"/>
      <c r="AQ656" s="11"/>
      <c r="AR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F657" s="11"/>
      <c r="AG657" s="11"/>
      <c r="AH657" s="11"/>
      <c r="AK657" s="11"/>
      <c r="AL657" s="11"/>
      <c r="AM657" s="11"/>
      <c r="AP657" s="11"/>
      <c r="AQ657" s="11"/>
      <c r="AR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F658" s="11"/>
      <c r="AG658" s="11"/>
      <c r="AH658" s="11"/>
      <c r="AK658" s="11"/>
      <c r="AL658" s="11"/>
      <c r="AM658" s="11"/>
      <c r="AP658" s="11"/>
      <c r="AQ658" s="11"/>
      <c r="AR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F659" s="11"/>
      <c r="AG659" s="11"/>
      <c r="AH659" s="11"/>
      <c r="AK659" s="11"/>
      <c r="AL659" s="11"/>
      <c r="AM659" s="11"/>
      <c r="AP659" s="11"/>
      <c r="AQ659" s="11"/>
      <c r="AR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F660" s="11"/>
      <c r="AG660" s="11"/>
      <c r="AH660" s="11"/>
      <c r="AK660" s="11"/>
      <c r="AL660" s="11"/>
      <c r="AM660" s="11"/>
      <c r="AP660" s="11"/>
      <c r="AQ660" s="11"/>
      <c r="AR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F661" s="11"/>
      <c r="AG661" s="11"/>
      <c r="AH661" s="11"/>
      <c r="AK661" s="11"/>
      <c r="AL661" s="11"/>
      <c r="AM661" s="11"/>
      <c r="AP661" s="11"/>
      <c r="AQ661" s="11"/>
      <c r="AR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F662" s="11"/>
      <c r="AG662" s="11"/>
      <c r="AH662" s="11"/>
      <c r="AK662" s="11"/>
      <c r="AL662" s="11"/>
      <c r="AM662" s="11"/>
      <c r="AP662" s="11"/>
      <c r="AQ662" s="11"/>
      <c r="AR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F663" s="11"/>
      <c r="AG663" s="11"/>
      <c r="AH663" s="11"/>
      <c r="AK663" s="11"/>
      <c r="AL663" s="11"/>
      <c r="AM663" s="11"/>
      <c r="AP663" s="11"/>
      <c r="AQ663" s="11"/>
      <c r="AR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F664" s="11"/>
      <c r="AG664" s="11"/>
      <c r="AH664" s="11"/>
      <c r="AK664" s="11"/>
      <c r="AL664" s="11"/>
      <c r="AM664" s="11"/>
      <c r="AP664" s="11"/>
      <c r="AQ664" s="11"/>
      <c r="AR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F665" s="11"/>
      <c r="AG665" s="11"/>
      <c r="AH665" s="11"/>
      <c r="AK665" s="11"/>
      <c r="AL665" s="11"/>
      <c r="AM665" s="11"/>
      <c r="AP665" s="11"/>
      <c r="AQ665" s="11"/>
      <c r="AR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F666" s="11"/>
      <c r="AG666" s="11"/>
      <c r="AH666" s="11"/>
      <c r="AK666" s="11"/>
      <c r="AL666" s="11"/>
      <c r="AM666" s="11"/>
      <c r="AP666" s="11"/>
      <c r="AQ666" s="11"/>
      <c r="AR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F667" s="11"/>
      <c r="AG667" s="11"/>
      <c r="AH667" s="11"/>
      <c r="AK667" s="11"/>
      <c r="AL667" s="11"/>
      <c r="AM667" s="11"/>
      <c r="AP667" s="11"/>
      <c r="AQ667" s="11"/>
      <c r="AR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F668" s="11"/>
      <c r="AG668" s="11"/>
      <c r="AH668" s="11"/>
      <c r="AK668" s="11"/>
      <c r="AL668" s="11"/>
      <c r="AM668" s="11"/>
      <c r="AP668" s="11"/>
      <c r="AQ668" s="11"/>
      <c r="AR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F669" s="11"/>
      <c r="AG669" s="11"/>
      <c r="AH669" s="11"/>
      <c r="AK669" s="11"/>
      <c r="AL669" s="11"/>
      <c r="AM669" s="11"/>
      <c r="AP669" s="11"/>
      <c r="AQ669" s="11"/>
      <c r="AR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F670" s="11"/>
      <c r="AG670" s="11"/>
      <c r="AH670" s="11"/>
      <c r="AK670" s="11"/>
      <c r="AL670" s="11"/>
      <c r="AM670" s="11"/>
      <c r="AP670" s="11"/>
      <c r="AQ670" s="11"/>
      <c r="AR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F671" s="11"/>
      <c r="AG671" s="11"/>
      <c r="AH671" s="11"/>
      <c r="AK671" s="11"/>
      <c r="AL671" s="11"/>
      <c r="AM671" s="11"/>
      <c r="AP671" s="11"/>
      <c r="AQ671" s="11"/>
      <c r="AR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F672" s="11"/>
      <c r="AG672" s="11"/>
      <c r="AH672" s="11"/>
      <c r="AK672" s="11"/>
      <c r="AL672" s="11"/>
      <c r="AM672" s="11"/>
      <c r="AP672" s="11"/>
      <c r="AQ672" s="11"/>
      <c r="AR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F673" s="11"/>
      <c r="AG673" s="11"/>
      <c r="AH673" s="11"/>
      <c r="AK673" s="11"/>
      <c r="AL673" s="11"/>
      <c r="AM673" s="11"/>
      <c r="AP673" s="11"/>
      <c r="AQ673" s="11"/>
      <c r="AR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F674" s="11"/>
      <c r="AG674" s="11"/>
      <c r="AH674" s="11"/>
      <c r="AK674" s="11"/>
      <c r="AL674" s="11"/>
      <c r="AM674" s="11"/>
      <c r="AP674" s="11"/>
      <c r="AQ674" s="11"/>
      <c r="AR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F675" s="11"/>
      <c r="AG675" s="11"/>
      <c r="AH675" s="11"/>
      <c r="AK675" s="11"/>
      <c r="AL675" s="11"/>
      <c r="AM675" s="11"/>
      <c r="AP675" s="11"/>
      <c r="AQ675" s="11"/>
      <c r="AR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F676" s="11"/>
      <c r="AG676" s="11"/>
      <c r="AH676" s="11"/>
      <c r="AK676" s="11"/>
      <c r="AL676" s="11"/>
      <c r="AM676" s="11"/>
      <c r="AP676" s="11"/>
      <c r="AQ676" s="11"/>
      <c r="AR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F677" s="11"/>
      <c r="AG677" s="11"/>
      <c r="AH677" s="11"/>
      <c r="AK677" s="11"/>
      <c r="AL677" s="11"/>
      <c r="AM677" s="11"/>
      <c r="AP677" s="11"/>
      <c r="AQ677" s="11"/>
      <c r="AR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F678" s="11"/>
      <c r="AG678" s="11"/>
      <c r="AH678" s="11"/>
      <c r="AK678" s="11"/>
      <c r="AL678" s="11"/>
      <c r="AM678" s="11"/>
      <c r="AP678" s="11"/>
      <c r="AQ678" s="11"/>
      <c r="AR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F679" s="11"/>
      <c r="AG679" s="11"/>
      <c r="AH679" s="11"/>
      <c r="AK679" s="11"/>
      <c r="AL679" s="11"/>
      <c r="AM679" s="11"/>
      <c r="AP679" s="11"/>
      <c r="AQ679" s="11"/>
      <c r="AR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F680" s="11"/>
      <c r="AG680" s="11"/>
      <c r="AH680" s="11"/>
      <c r="AK680" s="11"/>
      <c r="AL680" s="11"/>
      <c r="AM680" s="11"/>
      <c r="AP680" s="11"/>
      <c r="AQ680" s="11"/>
      <c r="AR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F681" s="11"/>
      <c r="AG681" s="11"/>
      <c r="AH681" s="11"/>
      <c r="AK681" s="11"/>
      <c r="AL681" s="11"/>
      <c r="AM681" s="11"/>
      <c r="AP681" s="11"/>
      <c r="AQ681" s="11"/>
      <c r="AR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F682" s="11"/>
      <c r="AG682" s="11"/>
      <c r="AH682" s="11"/>
      <c r="AK682" s="11"/>
      <c r="AL682" s="11"/>
      <c r="AM682" s="11"/>
      <c r="AP682" s="11"/>
      <c r="AQ682" s="11"/>
      <c r="AR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F683" s="11"/>
      <c r="AG683" s="11"/>
      <c r="AH683" s="11"/>
      <c r="AK683" s="11"/>
      <c r="AL683" s="11"/>
      <c r="AM683" s="11"/>
      <c r="AP683" s="11"/>
      <c r="AQ683" s="11"/>
      <c r="AR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F684" s="11"/>
      <c r="AG684" s="11"/>
      <c r="AH684" s="11"/>
      <c r="AK684" s="11"/>
      <c r="AL684" s="11"/>
      <c r="AM684" s="11"/>
      <c r="AP684" s="11"/>
      <c r="AQ684" s="11"/>
      <c r="AR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F685" s="11"/>
      <c r="AG685" s="11"/>
      <c r="AH685" s="11"/>
      <c r="AK685" s="11"/>
      <c r="AL685" s="11"/>
      <c r="AM685" s="11"/>
      <c r="AP685" s="11"/>
      <c r="AQ685" s="11"/>
      <c r="AR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F686" s="11"/>
      <c r="AG686" s="11"/>
      <c r="AH686" s="11"/>
      <c r="AK686" s="11"/>
      <c r="AL686" s="11"/>
      <c r="AM686" s="11"/>
      <c r="AP686" s="11"/>
      <c r="AQ686" s="11"/>
      <c r="AR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F687" s="11"/>
      <c r="AG687" s="11"/>
      <c r="AH687" s="11"/>
      <c r="AK687" s="11"/>
      <c r="AL687" s="11"/>
      <c r="AM687" s="11"/>
      <c r="AP687" s="11"/>
      <c r="AQ687" s="11"/>
      <c r="AR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F688" s="11"/>
      <c r="AG688" s="11"/>
      <c r="AH688" s="11"/>
      <c r="AK688" s="11"/>
      <c r="AL688" s="11"/>
      <c r="AM688" s="11"/>
      <c r="AP688" s="11"/>
      <c r="AQ688" s="11"/>
      <c r="AR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F689" s="11"/>
      <c r="AG689" s="11"/>
      <c r="AH689" s="11"/>
      <c r="AK689" s="11"/>
      <c r="AL689" s="11"/>
      <c r="AM689" s="11"/>
      <c r="AP689" s="11"/>
      <c r="AQ689" s="11"/>
      <c r="AR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F690" s="11"/>
      <c r="AG690" s="11"/>
      <c r="AH690" s="11"/>
      <c r="AK690" s="11"/>
      <c r="AL690" s="11"/>
      <c r="AM690" s="11"/>
      <c r="AP690" s="11"/>
      <c r="AQ690" s="11"/>
      <c r="AR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F691" s="11"/>
      <c r="AG691" s="11"/>
      <c r="AH691" s="11"/>
      <c r="AK691" s="11"/>
      <c r="AL691" s="11"/>
      <c r="AM691" s="11"/>
      <c r="AP691" s="11"/>
      <c r="AQ691" s="11"/>
      <c r="AR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F692" s="11"/>
      <c r="AG692" s="11"/>
      <c r="AH692" s="11"/>
      <c r="AK692" s="11"/>
      <c r="AL692" s="11"/>
      <c r="AM692" s="11"/>
      <c r="AP692" s="11"/>
      <c r="AQ692" s="11"/>
      <c r="AR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F693" s="11"/>
      <c r="AG693" s="11"/>
      <c r="AH693" s="11"/>
      <c r="AK693" s="11"/>
      <c r="AL693" s="11"/>
      <c r="AM693" s="11"/>
      <c r="AP693" s="11"/>
      <c r="AQ693" s="11"/>
      <c r="AR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F694" s="11"/>
      <c r="AG694" s="11"/>
      <c r="AH694" s="11"/>
      <c r="AK694" s="11"/>
      <c r="AL694" s="11"/>
      <c r="AM694" s="11"/>
      <c r="AP694" s="11"/>
      <c r="AQ694" s="11"/>
      <c r="AR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F695" s="11"/>
      <c r="AG695" s="11"/>
      <c r="AH695" s="11"/>
      <c r="AK695" s="11"/>
      <c r="AL695" s="11"/>
      <c r="AM695" s="11"/>
      <c r="AP695" s="11"/>
      <c r="AQ695" s="11"/>
      <c r="AR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F696" s="11"/>
      <c r="AG696" s="11"/>
      <c r="AH696" s="11"/>
      <c r="AK696" s="11"/>
      <c r="AL696" s="11"/>
      <c r="AM696" s="11"/>
      <c r="AP696" s="11"/>
      <c r="AQ696" s="11"/>
      <c r="AR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F697" s="11"/>
      <c r="AG697" s="11"/>
      <c r="AH697" s="11"/>
      <c r="AK697" s="11"/>
      <c r="AL697" s="11"/>
      <c r="AM697" s="11"/>
      <c r="AP697" s="11"/>
      <c r="AQ697" s="11"/>
      <c r="AR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F698" s="11"/>
      <c r="AG698" s="11"/>
      <c r="AH698" s="11"/>
      <c r="AK698" s="11"/>
      <c r="AL698" s="11"/>
      <c r="AM698" s="11"/>
      <c r="AP698" s="11"/>
      <c r="AQ698" s="11"/>
      <c r="AR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F699" s="11"/>
      <c r="AG699" s="11"/>
      <c r="AH699" s="11"/>
      <c r="AK699" s="11"/>
      <c r="AL699" s="11"/>
      <c r="AM699" s="11"/>
      <c r="AP699" s="11"/>
      <c r="AQ699" s="11"/>
      <c r="AR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F700" s="11"/>
      <c r="AG700" s="11"/>
      <c r="AH700" s="11"/>
      <c r="AK700" s="11"/>
      <c r="AL700" s="11"/>
      <c r="AM700" s="11"/>
      <c r="AP700" s="11"/>
      <c r="AQ700" s="11"/>
      <c r="AR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F701" s="11"/>
      <c r="AG701" s="11"/>
      <c r="AH701" s="11"/>
      <c r="AK701" s="11"/>
      <c r="AL701" s="11"/>
      <c r="AM701" s="11"/>
      <c r="AP701" s="11"/>
      <c r="AQ701" s="11"/>
      <c r="AR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F702" s="11"/>
      <c r="AG702" s="11"/>
      <c r="AH702" s="11"/>
      <c r="AK702" s="11"/>
      <c r="AL702" s="11"/>
      <c r="AM702" s="11"/>
      <c r="AP702" s="11"/>
      <c r="AQ702" s="11"/>
      <c r="AR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F703" s="11"/>
      <c r="AG703" s="11"/>
      <c r="AH703" s="11"/>
      <c r="AK703" s="11"/>
      <c r="AL703" s="11"/>
      <c r="AM703" s="11"/>
      <c r="AP703" s="11"/>
      <c r="AQ703" s="11"/>
      <c r="AR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F704" s="11"/>
      <c r="AG704" s="11"/>
      <c r="AH704" s="11"/>
      <c r="AK704" s="11"/>
      <c r="AL704" s="11"/>
      <c r="AM704" s="11"/>
      <c r="AP704" s="11"/>
      <c r="AQ704" s="11"/>
      <c r="AR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F705" s="11"/>
      <c r="AG705" s="11"/>
      <c r="AH705" s="11"/>
      <c r="AK705" s="11"/>
      <c r="AL705" s="11"/>
      <c r="AM705" s="11"/>
      <c r="AP705" s="11"/>
      <c r="AQ705" s="11"/>
      <c r="AR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F706" s="11"/>
      <c r="AG706" s="11"/>
      <c r="AH706" s="11"/>
      <c r="AK706" s="11"/>
      <c r="AL706" s="11"/>
      <c r="AM706" s="11"/>
      <c r="AP706" s="11"/>
      <c r="AQ706" s="11"/>
      <c r="AR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F707" s="11"/>
      <c r="AG707" s="11"/>
      <c r="AH707" s="11"/>
      <c r="AK707" s="11"/>
      <c r="AL707" s="11"/>
      <c r="AM707" s="11"/>
      <c r="AP707" s="11"/>
      <c r="AQ707" s="11"/>
      <c r="AR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F708" s="11"/>
      <c r="AG708" s="11"/>
      <c r="AH708" s="11"/>
      <c r="AK708" s="11"/>
      <c r="AL708" s="11"/>
      <c r="AM708" s="11"/>
      <c r="AP708" s="11"/>
      <c r="AQ708" s="11"/>
      <c r="AR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F709" s="11"/>
      <c r="AG709" s="11"/>
      <c r="AH709" s="11"/>
      <c r="AK709" s="11"/>
      <c r="AL709" s="11"/>
      <c r="AM709" s="11"/>
      <c r="AP709" s="11"/>
      <c r="AQ709" s="11"/>
      <c r="AR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F710" s="11"/>
      <c r="AG710" s="11"/>
      <c r="AH710" s="11"/>
      <c r="AK710" s="11"/>
      <c r="AL710" s="11"/>
      <c r="AM710" s="11"/>
      <c r="AP710" s="11"/>
      <c r="AQ710" s="11"/>
      <c r="AR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F711" s="11"/>
      <c r="AG711" s="11"/>
      <c r="AH711" s="11"/>
      <c r="AK711" s="11"/>
      <c r="AL711" s="11"/>
      <c r="AM711" s="11"/>
      <c r="AP711" s="11"/>
      <c r="AQ711" s="11"/>
      <c r="AR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F712" s="11"/>
      <c r="AG712" s="11"/>
      <c r="AH712" s="11"/>
      <c r="AK712" s="11"/>
      <c r="AL712" s="11"/>
      <c r="AM712" s="11"/>
      <c r="AP712" s="11"/>
      <c r="AQ712" s="11"/>
      <c r="AR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F713" s="11"/>
      <c r="AG713" s="11"/>
      <c r="AH713" s="11"/>
      <c r="AK713" s="11"/>
      <c r="AL713" s="11"/>
      <c r="AM713" s="11"/>
      <c r="AP713" s="11"/>
      <c r="AQ713" s="11"/>
      <c r="AR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F714" s="11"/>
      <c r="AG714" s="11"/>
      <c r="AH714" s="11"/>
      <c r="AK714" s="11"/>
      <c r="AL714" s="11"/>
      <c r="AM714" s="11"/>
      <c r="AP714" s="11"/>
      <c r="AQ714" s="11"/>
      <c r="AR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F715" s="11"/>
      <c r="AG715" s="11"/>
      <c r="AH715" s="11"/>
      <c r="AK715" s="11"/>
      <c r="AL715" s="11"/>
      <c r="AM715" s="11"/>
      <c r="AP715" s="11"/>
      <c r="AQ715" s="11"/>
      <c r="AR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F716" s="11"/>
      <c r="AG716" s="11"/>
      <c r="AH716" s="11"/>
      <c r="AK716" s="11"/>
      <c r="AL716" s="11"/>
      <c r="AM716" s="11"/>
      <c r="AP716" s="11"/>
      <c r="AQ716" s="11"/>
      <c r="AR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F717" s="11"/>
      <c r="AG717" s="11"/>
      <c r="AH717" s="11"/>
      <c r="AK717" s="11"/>
      <c r="AL717" s="11"/>
      <c r="AM717" s="11"/>
      <c r="AP717" s="11"/>
      <c r="AQ717" s="11"/>
      <c r="AR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F718" s="11"/>
      <c r="AG718" s="11"/>
      <c r="AH718" s="11"/>
      <c r="AK718" s="11"/>
      <c r="AL718" s="11"/>
      <c r="AM718" s="11"/>
      <c r="AP718" s="11"/>
      <c r="AQ718" s="11"/>
      <c r="AR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F719" s="11"/>
      <c r="AG719" s="11"/>
      <c r="AH719" s="11"/>
      <c r="AK719" s="11"/>
      <c r="AL719" s="11"/>
      <c r="AM719" s="11"/>
      <c r="AP719" s="11"/>
      <c r="AQ719" s="11"/>
      <c r="AR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F720" s="11"/>
      <c r="AG720" s="11"/>
      <c r="AH720" s="11"/>
      <c r="AK720" s="11"/>
      <c r="AL720" s="11"/>
      <c r="AM720" s="11"/>
      <c r="AP720" s="11"/>
      <c r="AQ720" s="11"/>
      <c r="AR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F721" s="11"/>
      <c r="AG721" s="11"/>
      <c r="AH721" s="11"/>
      <c r="AK721" s="11"/>
      <c r="AL721" s="11"/>
      <c r="AM721" s="11"/>
      <c r="AP721" s="11"/>
      <c r="AQ721" s="11"/>
      <c r="AR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F722" s="11"/>
      <c r="AG722" s="11"/>
      <c r="AH722" s="11"/>
      <c r="AK722" s="11"/>
      <c r="AL722" s="11"/>
      <c r="AM722" s="11"/>
      <c r="AP722" s="11"/>
      <c r="AQ722" s="11"/>
      <c r="AR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F723" s="11"/>
      <c r="AG723" s="11"/>
      <c r="AH723" s="11"/>
      <c r="AK723" s="11"/>
      <c r="AL723" s="11"/>
      <c r="AM723" s="11"/>
      <c r="AP723" s="11"/>
      <c r="AQ723" s="11"/>
      <c r="AR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F724" s="11"/>
      <c r="AG724" s="11"/>
      <c r="AH724" s="11"/>
      <c r="AK724" s="11"/>
      <c r="AL724" s="11"/>
      <c r="AM724" s="11"/>
      <c r="AP724" s="11"/>
      <c r="AQ724" s="11"/>
      <c r="AR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F725" s="11"/>
      <c r="AG725" s="11"/>
      <c r="AH725" s="11"/>
      <c r="AK725" s="11"/>
      <c r="AL725" s="11"/>
      <c r="AM725" s="11"/>
      <c r="AP725" s="11"/>
      <c r="AQ725" s="11"/>
      <c r="AR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F726" s="11"/>
      <c r="AG726" s="11"/>
      <c r="AH726" s="11"/>
      <c r="AK726" s="11"/>
      <c r="AL726" s="11"/>
      <c r="AM726" s="11"/>
      <c r="AP726" s="11"/>
      <c r="AQ726" s="11"/>
      <c r="AR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F727" s="11"/>
      <c r="AG727" s="11"/>
      <c r="AH727" s="11"/>
      <c r="AK727" s="11"/>
      <c r="AL727" s="11"/>
      <c r="AM727" s="11"/>
      <c r="AP727" s="11"/>
      <c r="AQ727" s="11"/>
      <c r="AR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F728" s="11"/>
      <c r="AG728" s="11"/>
      <c r="AH728" s="11"/>
      <c r="AK728" s="11"/>
      <c r="AL728" s="11"/>
      <c r="AM728" s="11"/>
      <c r="AP728" s="11"/>
      <c r="AQ728" s="11"/>
      <c r="AR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F729" s="11"/>
      <c r="AG729" s="11"/>
      <c r="AH729" s="11"/>
      <c r="AK729" s="11"/>
      <c r="AL729" s="11"/>
      <c r="AM729" s="11"/>
      <c r="AP729" s="11"/>
      <c r="AQ729" s="11"/>
      <c r="AR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F730" s="11"/>
      <c r="AG730" s="11"/>
      <c r="AH730" s="11"/>
      <c r="AK730" s="11"/>
      <c r="AL730" s="11"/>
      <c r="AM730" s="11"/>
      <c r="AP730" s="11"/>
      <c r="AQ730" s="11"/>
      <c r="AR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F731" s="11"/>
      <c r="AG731" s="11"/>
      <c r="AH731" s="11"/>
      <c r="AK731" s="11"/>
      <c r="AL731" s="11"/>
      <c r="AM731" s="11"/>
      <c r="AP731" s="11"/>
      <c r="AQ731" s="11"/>
      <c r="AR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F732" s="11"/>
      <c r="AG732" s="11"/>
      <c r="AH732" s="11"/>
      <c r="AK732" s="11"/>
      <c r="AL732" s="11"/>
      <c r="AM732" s="11"/>
      <c r="AP732" s="11"/>
      <c r="AQ732" s="11"/>
      <c r="AR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F733" s="11"/>
      <c r="AG733" s="11"/>
      <c r="AH733" s="11"/>
      <c r="AK733" s="11"/>
      <c r="AL733" s="11"/>
      <c r="AM733" s="11"/>
      <c r="AP733" s="11"/>
      <c r="AQ733" s="11"/>
      <c r="AR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F734" s="11"/>
      <c r="AG734" s="11"/>
      <c r="AH734" s="11"/>
      <c r="AK734" s="11"/>
      <c r="AL734" s="11"/>
      <c r="AM734" s="11"/>
      <c r="AP734" s="11"/>
      <c r="AQ734" s="11"/>
      <c r="AR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F735" s="11"/>
      <c r="AG735" s="11"/>
      <c r="AH735" s="11"/>
      <c r="AK735" s="11"/>
      <c r="AL735" s="11"/>
      <c r="AM735" s="11"/>
      <c r="AP735" s="11"/>
      <c r="AQ735" s="11"/>
      <c r="AR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F736" s="11"/>
      <c r="AG736" s="11"/>
      <c r="AH736" s="11"/>
      <c r="AK736" s="11"/>
      <c r="AL736" s="11"/>
      <c r="AM736" s="11"/>
      <c r="AP736" s="11"/>
      <c r="AQ736" s="11"/>
      <c r="AR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F737" s="11"/>
      <c r="AG737" s="11"/>
      <c r="AH737" s="11"/>
      <c r="AK737" s="11"/>
      <c r="AL737" s="11"/>
      <c r="AM737" s="11"/>
      <c r="AP737" s="11"/>
      <c r="AQ737" s="11"/>
      <c r="AR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F738" s="11"/>
      <c r="AG738" s="11"/>
      <c r="AH738" s="11"/>
      <c r="AK738" s="11"/>
      <c r="AL738" s="11"/>
      <c r="AM738" s="11"/>
      <c r="AP738" s="11"/>
      <c r="AQ738" s="11"/>
      <c r="AR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F739" s="11"/>
      <c r="AG739" s="11"/>
      <c r="AH739" s="11"/>
      <c r="AK739" s="11"/>
      <c r="AL739" s="11"/>
      <c r="AM739" s="11"/>
      <c r="AP739" s="11"/>
      <c r="AQ739" s="11"/>
      <c r="AR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F740" s="11"/>
      <c r="AG740" s="11"/>
      <c r="AH740" s="11"/>
      <c r="AK740" s="11"/>
      <c r="AL740" s="11"/>
      <c r="AM740" s="11"/>
      <c r="AP740" s="11"/>
      <c r="AQ740" s="11"/>
      <c r="AR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F741" s="11"/>
      <c r="AG741" s="11"/>
      <c r="AH741" s="11"/>
      <c r="AK741" s="11"/>
      <c r="AL741" s="11"/>
      <c r="AM741" s="11"/>
      <c r="AP741" s="11"/>
      <c r="AQ741" s="11"/>
      <c r="AR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F742" s="11"/>
      <c r="AG742" s="11"/>
      <c r="AH742" s="11"/>
      <c r="AK742" s="11"/>
      <c r="AL742" s="11"/>
      <c r="AM742" s="11"/>
      <c r="AP742" s="11"/>
      <c r="AQ742" s="11"/>
      <c r="AR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F743" s="11"/>
      <c r="AG743" s="11"/>
      <c r="AH743" s="11"/>
      <c r="AK743" s="11"/>
      <c r="AL743" s="11"/>
      <c r="AM743" s="11"/>
      <c r="AP743" s="11"/>
      <c r="AQ743" s="11"/>
      <c r="AR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F744" s="11"/>
      <c r="AG744" s="11"/>
      <c r="AH744" s="11"/>
      <c r="AK744" s="11"/>
      <c r="AL744" s="11"/>
      <c r="AM744" s="11"/>
      <c r="AP744" s="11"/>
      <c r="AQ744" s="11"/>
      <c r="AR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F745" s="11"/>
      <c r="AG745" s="11"/>
      <c r="AH745" s="11"/>
      <c r="AK745" s="11"/>
      <c r="AL745" s="11"/>
      <c r="AM745" s="11"/>
      <c r="AP745" s="11"/>
      <c r="AQ745" s="11"/>
      <c r="AR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F746" s="11"/>
      <c r="AG746" s="11"/>
      <c r="AH746" s="11"/>
      <c r="AK746" s="11"/>
      <c r="AL746" s="11"/>
      <c r="AM746" s="11"/>
      <c r="AP746" s="11"/>
      <c r="AQ746" s="11"/>
      <c r="AR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F747" s="11"/>
      <c r="AG747" s="11"/>
      <c r="AH747" s="11"/>
      <c r="AK747" s="11"/>
      <c r="AL747" s="11"/>
      <c r="AM747" s="11"/>
      <c r="AP747" s="11"/>
      <c r="AQ747" s="11"/>
      <c r="AR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F748" s="11"/>
      <c r="AG748" s="11"/>
      <c r="AH748" s="11"/>
      <c r="AK748" s="11"/>
      <c r="AL748" s="11"/>
      <c r="AM748" s="11"/>
      <c r="AP748" s="11"/>
      <c r="AQ748" s="11"/>
      <c r="AR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F749" s="11"/>
      <c r="AG749" s="11"/>
      <c r="AH749" s="11"/>
      <c r="AK749" s="11"/>
      <c r="AL749" s="11"/>
      <c r="AM749" s="11"/>
      <c r="AP749" s="11"/>
      <c r="AQ749" s="11"/>
      <c r="AR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F750" s="11"/>
      <c r="AG750" s="11"/>
      <c r="AH750" s="11"/>
      <c r="AK750" s="11"/>
      <c r="AL750" s="11"/>
      <c r="AM750" s="11"/>
      <c r="AP750" s="11"/>
      <c r="AQ750" s="11"/>
      <c r="AR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F751" s="11"/>
      <c r="AG751" s="11"/>
      <c r="AH751" s="11"/>
      <c r="AK751" s="11"/>
      <c r="AL751" s="11"/>
      <c r="AM751" s="11"/>
      <c r="AP751" s="11"/>
      <c r="AQ751" s="11"/>
      <c r="AR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F752" s="11"/>
      <c r="AG752" s="11"/>
      <c r="AH752" s="11"/>
      <c r="AK752" s="11"/>
      <c r="AL752" s="11"/>
      <c r="AM752" s="11"/>
      <c r="AP752" s="11"/>
      <c r="AQ752" s="11"/>
      <c r="AR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F753" s="11"/>
      <c r="AG753" s="11"/>
      <c r="AH753" s="11"/>
      <c r="AK753" s="11"/>
      <c r="AL753" s="11"/>
      <c r="AM753" s="11"/>
      <c r="AP753" s="11"/>
      <c r="AQ753" s="11"/>
      <c r="AR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F754" s="11"/>
      <c r="AG754" s="11"/>
      <c r="AH754" s="11"/>
      <c r="AK754" s="11"/>
      <c r="AL754" s="11"/>
      <c r="AM754" s="11"/>
      <c r="AP754" s="11"/>
      <c r="AQ754" s="11"/>
      <c r="AR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F755" s="11"/>
      <c r="AG755" s="11"/>
      <c r="AH755" s="11"/>
      <c r="AK755" s="11"/>
      <c r="AL755" s="11"/>
      <c r="AM755" s="11"/>
      <c r="AP755" s="11"/>
      <c r="AQ755" s="11"/>
      <c r="AR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F756" s="11"/>
      <c r="AG756" s="11"/>
      <c r="AH756" s="11"/>
      <c r="AK756" s="11"/>
      <c r="AL756" s="11"/>
      <c r="AM756" s="11"/>
      <c r="AP756" s="11"/>
      <c r="AQ756" s="11"/>
      <c r="AR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F757" s="11"/>
      <c r="AG757" s="11"/>
      <c r="AH757" s="11"/>
      <c r="AK757" s="11"/>
      <c r="AL757" s="11"/>
      <c r="AM757" s="11"/>
      <c r="AP757" s="11"/>
      <c r="AQ757" s="11"/>
      <c r="AR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F758" s="11"/>
      <c r="AG758" s="11"/>
      <c r="AH758" s="11"/>
      <c r="AK758" s="11"/>
      <c r="AL758" s="11"/>
      <c r="AM758" s="11"/>
      <c r="AP758" s="11"/>
      <c r="AQ758" s="11"/>
      <c r="AR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F759" s="11"/>
      <c r="AG759" s="11"/>
      <c r="AH759" s="11"/>
      <c r="AK759" s="11"/>
      <c r="AL759" s="11"/>
      <c r="AM759" s="11"/>
      <c r="AP759" s="11"/>
      <c r="AQ759" s="11"/>
      <c r="AR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F760" s="11"/>
      <c r="AG760" s="11"/>
      <c r="AH760" s="11"/>
      <c r="AK760" s="11"/>
      <c r="AL760" s="11"/>
      <c r="AM760" s="11"/>
      <c r="AP760" s="11"/>
      <c r="AQ760" s="11"/>
      <c r="AR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F761" s="11"/>
      <c r="AG761" s="11"/>
      <c r="AH761" s="11"/>
      <c r="AK761" s="11"/>
      <c r="AL761" s="11"/>
      <c r="AM761" s="11"/>
      <c r="AP761" s="11"/>
      <c r="AQ761" s="11"/>
      <c r="AR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F762" s="11"/>
      <c r="AG762" s="11"/>
      <c r="AH762" s="11"/>
      <c r="AK762" s="11"/>
      <c r="AL762" s="11"/>
      <c r="AM762" s="11"/>
      <c r="AP762" s="11"/>
      <c r="AQ762" s="11"/>
      <c r="AR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F763" s="11"/>
      <c r="AG763" s="11"/>
      <c r="AH763" s="11"/>
      <c r="AK763" s="11"/>
      <c r="AL763" s="11"/>
      <c r="AM763" s="11"/>
      <c r="AP763" s="11"/>
      <c r="AQ763" s="11"/>
      <c r="AR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F764" s="11"/>
      <c r="AG764" s="11"/>
      <c r="AH764" s="11"/>
      <c r="AK764" s="11"/>
      <c r="AL764" s="11"/>
      <c r="AM764" s="11"/>
      <c r="AP764" s="11"/>
      <c r="AQ764" s="11"/>
      <c r="AR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F765" s="11"/>
      <c r="AG765" s="11"/>
      <c r="AH765" s="11"/>
      <c r="AK765" s="11"/>
      <c r="AL765" s="11"/>
      <c r="AM765" s="11"/>
      <c r="AP765" s="11"/>
      <c r="AQ765" s="11"/>
      <c r="AR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F766" s="11"/>
      <c r="AG766" s="11"/>
      <c r="AH766" s="11"/>
      <c r="AK766" s="11"/>
      <c r="AL766" s="11"/>
      <c r="AM766" s="11"/>
      <c r="AP766" s="11"/>
      <c r="AQ766" s="11"/>
      <c r="AR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F767" s="11"/>
      <c r="AG767" s="11"/>
      <c r="AH767" s="11"/>
      <c r="AK767" s="11"/>
      <c r="AL767" s="11"/>
      <c r="AM767" s="11"/>
      <c r="AP767" s="11"/>
      <c r="AQ767" s="11"/>
      <c r="AR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F768" s="11"/>
      <c r="AG768" s="11"/>
      <c r="AH768" s="11"/>
      <c r="AK768" s="11"/>
      <c r="AL768" s="11"/>
      <c r="AM768" s="11"/>
      <c r="AP768" s="11"/>
      <c r="AQ768" s="11"/>
      <c r="AR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F769" s="11"/>
      <c r="AG769" s="11"/>
      <c r="AH769" s="11"/>
      <c r="AK769" s="11"/>
      <c r="AL769" s="11"/>
      <c r="AM769" s="11"/>
      <c r="AP769" s="11"/>
      <c r="AQ769" s="11"/>
      <c r="AR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F770" s="11"/>
      <c r="AG770" s="11"/>
      <c r="AH770" s="11"/>
      <c r="AK770" s="11"/>
      <c r="AL770" s="11"/>
      <c r="AM770" s="11"/>
      <c r="AP770" s="11"/>
      <c r="AQ770" s="11"/>
      <c r="AR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F771" s="11"/>
      <c r="AG771" s="11"/>
      <c r="AH771" s="11"/>
      <c r="AK771" s="11"/>
      <c r="AL771" s="11"/>
      <c r="AM771" s="11"/>
      <c r="AP771" s="11"/>
      <c r="AQ771" s="11"/>
      <c r="AR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F772" s="11"/>
      <c r="AG772" s="11"/>
      <c r="AH772" s="11"/>
      <c r="AK772" s="11"/>
      <c r="AL772" s="11"/>
      <c r="AM772" s="11"/>
      <c r="AP772" s="11"/>
      <c r="AQ772" s="11"/>
      <c r="AR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F773" s="11"/>
      <c r="AG773" s="11"/>
      <c r="AH773" s="11"/>
      <c r="AK773" s="11"/>
      <c r="AL773" s="11"/>
      <c r="AM773" s="11"/>
      <c r="AP773" s="11"/>
      <c r="AQ773" s="11"/>
      <c r="AR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F774" s="11"/>
      <c r="AG774" s="11"/>
      <c r="AH774" s="11"/>
      <c r="AK774" s="11"/>
      <c r="AL774" s="11"/>
      <c r="AM774" s="11"/>
      <c r="AP774" s="11"/>
      <c r="AQ774" s="11"/>
      <c r="AR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F775" s="11"/>
      <c r="AG775" s="11"/>
      <c r="AH775" s="11"/>
      <c r="AK775" s="11"/>
      <c r="AL775" s="11"/>
      <c r="AM775" s="11"/>
      <c r="AP775" s="11"/>
      <c r="AQ775" s="11"/>
      <c r="AR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F776" s="11"/>
      <c r="AG776" s="11"/>
      <c r="AH776" s="11"/>
      <c r="AK776" s="11"/>
      <c r="AL776" s="11"/>
      <c r="AM776" s="11"/>
      <c r="AP776" s="11"/>
      <c r="AQ776" s="11"/>
      <c r="AR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F777" s="11"/>
      <c r="AG777" s="11"/>
      <c r="AH777" s="11"/>
      <c r="AK777" s="11"/>
      <c r="AL777" s="11"/>
      <c r="AM777" s="11"/>
      <c r="AP777" s="11"/>
      <c r="AQ777" s="11"/>
      <c r="AR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F778" s="11"/>
      <c r="AG778" s="11"/>
      <c r="AH778" s="11"/>
      <c r="AK778" s="11"/>
      <c r="AL778" s="11"/>
      <c r="AM778" s="11"/>
      <c r="AP778" s="11"/>
      <c r="AQ778" s="11"/>
      <c r="AR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F779" s="11"/>
      <c r="AG779" s="11"/>
      <c r="AH779" s="11"/>
      <c r="AK779" s="11"/>
      <c r="AL779" s="11"/>
      <c r="AM779" s="11"/>
      <c r="AP779" s="11"/>
      <c r="AQ779" s="11"/>
      <c r="AR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F780" s="11"/>
      <c r="AG780" s="11"/>
      <c r="AH780" s="11"/>
      <c r="AK780" s="11"/>
      <c r="AL780" s="11"/>
      <c r="AM780" s="11"/>
      <c r="AP780" s="11"/>
      <c r="AQ780" s="11"/>
      <c r="AR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F781" s="11"/>
      <c r="AG781" s="11"/>
      <c r="AH781" s="11"/>
      <c r="AK781" s="11"/>
      <c r="AL781" s="11"/>
      <c r="AM781" s="11"/>
      <c r="AP781" s="11"/>
      <c r="AQ781" s="11"/>
      <c r="AR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F782" s="11"/>
      <c r="AG782" s="11"/>
      <c r="AH782" s="11"/>
      <c r="AK782" s="11"/>
      <c r="AL782" s="11"/>
      <c r="AM782" s="11"/>
      <c r="AP782" s="11"/>
      <c r="AQ782" s="11"/>
      <c r="AR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F783" s="11"/>
      <c r="AG783" s="11"/>
      <c r="AH783" s="11"/>
      <c r="AK783" s="11"/>
      <c r="AL783" s="11"/>
      <c r="AM783" s="11"/>
      <c r="AP783" s="11"/>
      <c r="AQ783" s="11"/>
      <c r="AR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F784" s="11"/>
      <c r="AG784" s="11"/>
      <c r="AH784" s="11"/>
      <c r="AK784" s="11"/>
      <c r="AL784" s="11"/>
      <c r="AM784" s="11"/>
      <c r="AP784" s="11"/>
      <c r="AQ784" s="11"/>
      <c r="AR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F785" s="11"/>
      <c r="AG785" s="11"/>
      <c r="AH785" s="11"/>
      <c r="AK785" s="11"/>
      <c r="AL785" s="11"/>
      <c r="AM785" s="11"/>
      <c r="AP785" s="11"/>
      <c r="AQ785" s="11"/>
      <c r="AR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F786" s="11"/>
      <c r="AG786" s="11"/>
      <c r="AH786" s="11"/>
      <c r="AK786" s="11"/>
      <c r="AL786" s="11"/>
      <c r="AM786" s="11"/>
      <c r="AP786" s="11"/>
      <c r="AQ786" s="11"/>
      <c r="AR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F787" s="11"/>
      <c r="AG787" s="11"/>
      <c r="AH787" s="11"/>
      <c r="AK787" s="11"/>
      <c r="AL787" s="11"/>
      <c r="AM787" s="11"/>
      <c r="AP787" s="11"/>
      <c r="AQ787" s="11"/>
      <c r="AR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F788" s="11"/>
      <c r="AG788" s="11"/>
      <c r="AH788" s="11"/>
      <c r="AK788" s="11"/>
      <c r="AL788" s="11"/>
      <c r="AM788" s="11"/>
      <c r="AP788" s="11"/>
      <c r="AQ788" s="11"/>
      <c r="AR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F789" s="11"/>
      <c r="AG789" s="11"/>
      <c r="AH789" s="11"/>
      <c r="AK789" s="11"/>
      <c r="AL789" s="11"/>
      <c r="AM789" s="11"/>
      <c r="AP789" s="11"/>
      <c r="AQ789" s="11"/>
      <c r="AR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F790" s="11"/>
      <c r="AG790" s="11"/>
      <c r="AH790" s="11"/>
      <c r="AK790" s="11"/>
      <c r="AL790" s="11"/>
      <c r="AM790" s="11"/>
      <c r="AP790" s="11"/>
      <c r="AQ790" s="11"/>
      <c r="AR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F791" s="11"/>
      <c r="AG791" s="11"/>
      <c r="AH791" s="11"/>
      <c r="AK791" s="11"/>
      <c r="AL791" s="11"/>
      <c r="AM791" s="11"/>
      <c r="AP791" s="11"/>
      <c r="AQ791" s="11"/>
      <c r="AR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F792" s="11"/>
      <c r="AG792" s="11"/>
      <c r="AH792" s="11"/>
      <c r="AK792" s="11"/>
      <c r="AL792" s="11"/>
      <c r="AM792" s="11"/>
      <c r="AP792" s="11"/>
      <c r="AQ792" s="11"/>
      <c r="AR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F793" s="11"/>
      <c r="AG793" s="11"/>
      <c r="AH793" s="11"/>
      <c r="AK793" s="11"/>
      <c r="AL793" s="11"/>
      <c r="AM793" s="11"/>
      <c r="AP793" s="11"/>
      <c r="AQ793" s="11"/>
      <c r="AR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F794" s="11"/>
      <c r="AG794" s="11"/>
      <c r="AH794" s="11"/>
      <c r="AK794" s="11"/>
      <c r="AL794" s="11"/>
      <c r="AM794" s="11"/>
      <c r="AP794" s="11"/>
      <c r="AQ794" s="11"/>
      <c r="AR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F795" s="11"/>
      <c r="AG795" s="11"/>
      <c r="AH795" s="11"/>
      <c r="AK795" s="11"/>
      <c r="AL795" s="11"/>
      <c r="AM795" s="11"/>
      <c r="AP795" s="11"/>
      <c r="AQ795" s="11"/>
      <c r="AR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F796" s="11"/>
      <c r="AG796" s="11"/>
      <c r="AH796" s="11"/>
      <c r="AK796" s="11"/>
      <c r="AL796" s="11"/>
      <c r="AM796" s="11"/>
      <c r="AP796" s="11"/>
      <c r="AQ796" s="11"/>
      <c r="AR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F797" s="11"/>
      <c r="AG797" s="11"/>
      <c r="AH797" s="11"/>
      <c r="AK797" s="11"/>
      <c r="AL797" s="11"/>
      <c r="AM797" s="11"/>
      <c r="AP797" s="11"/>
      <c r="AQ797" s="11"/>
      <c r="AR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F798" s="11"/>
      <c r="AG798" s="11"/>
      <c r="AH798" s="11"/>
      <c r="AK798" s="11"/>
      <c r="AL798" s="11"/>
      <c r="AM798" s="11"/>
      <c r="AP798" s="11"/>
      <c r="AQ798" s="11"/>
      <c r="AR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F799" s="11"/>
      <c r="AG799" s="11"/>
      <c r="AH799" s="11"/>
      <c r="AK799" s="11"/>
      <c r="AL799" s="11"/>
      <c r="AM799" s="11"/>
      <c r="AP799" s="11"/>
      <c r="AQ799" s="11"/>
      <c r="AR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F800" s="11"/>
      <c r="AG800" s="11"/>
      <c r="AH800" s="11"/>
      <c r="AK800" s="11"/>
      <c r="AL800" s="11"/>
      <c r="AM800" s="11"/>
      <c r="AP800" s="11"/>
      <c r="AQ800" s="11"/>
      <c r="AR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F801" s="11"/>
      <c r="AG801" s="11"/>
      <c r="AH801" s="11"/>
      <c r="AK801" s="11"/>
      <c r="AL801" s="11"/>
      <c r="AM801" s="11"/>
      <c r="AP801" s="11"/>
      <c r="AQ801" s="11"/>
      <c r="AR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F802" s="11"/>
      <c r="AG802" s="11"/>
      <c r="AH802" s="11"/>
      <c r="AK802" s="11"/>
      <c r="AL802" s="11"/>
      <c r="AM802" s="11"/>
      <c r="AP802" s="11"/>
      <c r="AQ802" s="11"/>
      <c r="AR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F803" s="11"/>
      <c r="AG803" s="11"/>
      <c r="AH803" s="11"/>
      <c r="AK803" s="11"/>
      <c r="AL803" s="11"/>
      <c r="AM803" s="11"/>
      <c r="AP803" s="11"/>
      <c r="AQ803" s="11"/>
      <c r="AR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F804" s="11"/>
      <c r="AG804" s="11"/>
      <c r="AH804" s="11"/>
      <c r="AK804" s="11"/>
      <c r="AL804" s="11"/>
      <c r="AM804" s="11"/>
      <c r="AP804" s="11"/>
      <c r="AQ804" s="11"/>
      <c r="AR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F805" s="11"/>
      <c r="AG805" s="11"/>
      <c r="AH805" s="11"/>
      <c r="AK805" s="11"/>
      <c r="AL805" s="11"/>
      <c r="AM805" s="11"/>
      <c r="AP805" s="11"/>
      <c r="AQ805" s="11"/>
      <c r="AR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F806" s="11"/>
      <c r="AG806" s="11"/>
      <c r="AH806" s="11"/>
      <c r="AK806" s="11"/>
      <c r="AL806" s="11"/>
      <c r="AM806" s="11"/>
      <c r="AP806" s="11"/>
      <c r="AQ806" s="11"/>
      <c r="AR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F807" s="11"/>
      <c r="AG807" s="11"/>
      <c r="AH807" s="11"/>
      <c r="AK807" s="11"/>
      <c r="AL807" s="11"/>
      <c r="AM807" s="11"/>
      <c r="AP807" s="11"/>
      <c r="AQ807" s="11"/>
      <c r="AR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F808" s="11"/>
      <c r="AG808" s="11"/>
      <c r="AH808" s="11"/>
      <c r="AK808" s="11"/>
      <c r="AL808" s="11"/>
      <c r="AM808" s="11"/>
      <c r="AP808" s="11"/>
      <c r="AQ808" s="11"/>
      <c r="AR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F809" s="11"/>
      <c r="AG809" s="11"/>
      <c r="AH809" s="11"/>
      <c r="AK809" s="11"/>
      <c r="AL809" s="11"/>
      <c r="AM809" s="11"/>
      <c r="AP809" s="11"/>
      <c r="AQ809" s="11"/>
      <c r="AR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F810" s="11"/>
      <c r="AG810" s="11"/>
      <c r="AH810" s="11"/>
      <c r="AK810" s="11"/>
      <c r="AL810" s="11"/>
      <c r="AM810" s="11"/>
      <c r="AP810" s="11"/>
      <c r="AQ810" s="11"/>
      <c r="AR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F811" s="11"/>
      <c r="AG811" s="11"/>
      <c r="AH811" s="11"/>
      <c r="AK811" s="11"/>
      <c r="AL811" s="11"/>
      <c r="AM811" s="11"/>
      <c r="AP811" s="11"/>
      <c r="AQ811" s="11"/>
      <c r="AR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F812" s="11"/>
      <c r="AG812" s="11"/>
      <c r="AH812" s="11"/>
      <c r="AK812" s="11"/>
      <c r="AL812" s="11"/>
      <c r="AM812" s="11"/>
      <c r="AP812" s="11"/>
      <c r="AQ812" s="11"/>
      <c r="AR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F813" s="11"/>
      <c r="AG813" s="11"/>
      <c r="AH813" s="11"/>
      <c r="AK813" s="11"/>
      <c r="AL813" s="11"/>
      <c r="AM813" s="11"/>
      <c r="AP813" s="11"/>
      <c r="AQ813" s="11"/>
      <c r="AR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F814" s="11"/>
      <c r="AG814" s="11"/>
      <c r="AH814" s="11"/>
      <c r="AK814" s="11"/>
      <c r="AL814" s="11"/>
      <c r="AM814" s="11"/>
      <c r="AP814" s="11"/>
      <c r="AQ814" s="11"/>
      <c r="AR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F815" s="11"/>
      <c r="AG815" s="11"/>
      <c r="AH815" s="11"/>
      <c r="AK815" s="11"/>
      <c r="AL815" s="11"/>
      <c r="AM815" s="11"/>
      <c r="AP815" s="11"/>
      <c r="AQ815" s="11"/>
      <c r="AR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F816" s="11"/>
      <c r="AG816" s="11"/>
      <c r="AH816" s="11"/>
      <c r="AK816" s="11"/>
      <c r="AL816" s="11"/>
      <c r="AM816" s="11"/>
      <c r="AP816" s="11"/>
      <c r="AQ816" s="11"/>
      <c r="AR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F817" s="11"/>
      <c r="AG817" s="11"/>
      <c r="AH817" s="11"/>
      <c r="AK817" s="11"/>
      <c r="AL817" s="11"/>
      <c r="AM817" s="11"/>
      <c r="AP817" s="11"/>
      <c r="AQ817" s="11"/>
      <c r="AR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F818" s="11"/>
      <c r="AG818" s="11"/>
      <c r="AH818" s="11"/>
      <c r="AK818" s="11"/>
      <c r="AL818" s="11"/>
      <c r="AM818" s="11"/>
      <c r="AP818" s="11"/>
      <c r="AQ818" s="11"/>
      <c r="AR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F819" s="11"/>
      <c r="AG819" s="11"/>
      <c r="AH819" s="11"/>
      <c r="AK819" s="11"/>
      <c r="AL819" s="11"/>
      <c r="AM819" s="11"/>
      <c r="AP819" s="11"/>
      <c r="AQ819" s="11"/>
      <c r="AR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F820" s="11"/>
      <c r="AG820" s="11"/>
      <c r="AH820" s="11"/>
      <c r="AK820" s="11"/>
      <c r="AL820" s="11"/>
      <c r="AM820" s="11"/>
      <c r="AP820" s="11"/>
      <c r="AQ820" s="11"/>
      <c r="AR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F821" s="11"/>
      <c r="AG821" s="11"/>
      <c r="AH821" s="11"/>
      <c r="AK821" s="11"/>
      <c r="AL821" s="11"/>
      <c r="AM821" s="11"/>
      <c r="AP821" s="11"/>
      <c r="AQ821" s="11"/>
      <c r="AR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F822" s="11"/>
      <c r="AG822" s="11"/>
      <c r="AH822" s="11"/>
      <c r="AK822" s="11"/>
      <c r="AL822" s="11"/>
      <c r="AM822" s="11"/>
      <c r="AP822" s="11"/>
      <c r="AQ822" s="11"/>
      <c r="AR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F823" s="11"/>
      <c r="AG823" s="11"/>
      <c r="AH823" s="11"/>
      <c r="AK823" s="11"/>
      <c r="AL823" s="11"/>
      <c r="AM823" s="11"/>
      <c r="AP823" s="11"/>
      <c r="AQ823" s="11"/>
      <c r="AR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F824" s="11"/>
      <c r="AG824" s="11"/>
      <c r="AH824" s="11"/>
      <c r="AK824" s="11"/>
      <c r="AL824" s="11"/>
      <c r="AM824" s="11"/>
      <c r="AP824" s="11"/>
      <c r="AQ824" s="11"/>
      <c r="AR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F825" s="11"/>
      <c r="AG825" s="11"/>
      <c r="AH825" s="11"/>
      <c r="AK825" s="11"/>
      <c r="AL825" s="11"/>
      <c r="AM825" s="11"/>
      <c r="AP825" s="11"/>
      <c r="AQ825" s="11"/>
      <c r="AR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F826" s="11"/>
      <c r="AG826" s="11"/>
      <c r="AH826" s="11"/>
      <c r="AK826" s="11"/>
      <c r="AL826" s="11"/>
      <c r="AM826" s="11"/>
      <c r="AP826" s="11"/>
      <c r="AQ826" s="11"/>
      <c r="AR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F827" s="11"/>
      <c r="AG827" s="11"/>
      <c r="AH827" s="11"/>
      <c r="AK827" s="11"/>
      <c r="AL827" s="11"/>
      <c r="AM827" s="11"/>
      <c r="AP827" s="11"/>
      <c r="AQ827" s="11"/>
      <c r="AR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F828" s="11"/>
      <c r="AG828" s="11"/>
      <c r="AH828" s="11"/>
      <c r="AK828" s="11"/>
      <c r="AL828" s="11"/>
      <c r="AM828" s="11"/>
      <c r="AP828" s="11"/>
      <c r="AQ828" s="11"/>
      <c r="AR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F829" s="11"/>
      <c r="AG829" s="11"/>
      <c r="AH829" s="11"/>
      <c r="AK829" s="11"/>
      <c r="AL829" s="11"/>
      <c r="AM829" s="11"/>
      <c r="AP829" s="11"/>
      <c r="AQ829" s="11"/>
      <c r="AR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F830" s="11"/>
      <c r="AG830" s="11"/>
      <c r="AH830" s="11"/>
      <c r="AK830" s="11"/>
      <c r="AL830" s="11"/>
      <c r="AM830" s="11"/>
      <c r="AP830" s="11"/>
      <c r="AQ830" s="11"/>
      <c r="AR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F831" s="11"/>
      <c r="AG831" s="11"/>
      <c r="AH831" s="11"/>
      <c r="AK831" s="11"/>
      <c r="AL831" s="11"/>
      <c r="AM831" s="11"/>
      <c r="AP831" s="11"/>
      <c r="AQ831" s="11"/>
      <c r="AR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F832" s="11"/>
      <c r="AG832" s="11"/>
      <c r="AH832" s="11"/>
      <c r="AK832" s="11"/>
      <c r="AL832" s="11"/>
      <c r="AM832" s="11"/>
      <c r="AP832" s="11"/>
      <c r="AQ832" s="11"/>
      <c r="AR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F833" s="11"/>
      <c r="AG833" s="11"/>
      <c r="AH833" s="11"/>
      <c r="AK833" s="11"/>
      <c r="AL833" s="11"/>
      <c r="AM833" s="11"/>
      <c r="AP833" s="11"/>
      <c r="AQ833" s="11"/>
      <c r="AR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F834" s="11"/>
      <c r="AG834" s="11"/>
      <c r="AH834" s="11"/>
      <c r="AK834" s="11"/>
      <c r="AL834" s="11"/>
      <c r="AM834" s="11"/>
      <c r="AP834" s="11"/>
      <c r="AQ834" s="11"/>
      <c r="AR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F835" s="11"/>
      <c r="AG835" s="11"/>
      <c r="AH835" s="11"/>
      <c r="AK835" s="11"/>
      <c r="AL835" s="11"/>
      <c r="AM835" s="11"/>
      <c r="AP835" s="11"/>
      <c r="AQ835" s="11"/>
      <c r="AR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F836" s="11"/>
      <c r="AG836" s="11"/>
      <c r="AH836" s="11"/>
      <c r="AK836" s="11"/>
      <c r="AL836" s="11"/>
      <c r="AM836" s="11"/>
      <c r="AP836" s="11"/>
      <c r="AQ836" s="11"/>
      <c r="AR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F837" s="11"/>
      <c r="AG837" s="11"/>
      <c r="AH837" s="11"/>
      <c r="AK837" s="11"/>
      <c r="AL837" s="11"/>
      <c r="AM837" s="11"/>
      <c r="AP837" s="11"/>
      <c r="AQ837" s="11"/>
      <c r="AR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F838" s="11"/>
      <c r="AG838" s="11"/>
      <c r="AH838" s="11"/>
      <c r="AK838" s="11"/>
      <c r="AL838" s="11"/>
      <c r="AM838" s="11"/>
      <c r="AP838" s="11"/>
      <c r="AQ838" s="11"/>
      <c r="AR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F839" s="11"/>
      <c r="AG839" s="11"/>
      <c r="AH839" s="11"/>
      <c r="AK839" s="11"/>
      <c r="AL839" s="11"/>
      <c r="AM839" s="11"/>
      <c r="AP839" s="11"/>
      <c r="AQ839" s="11"/>
      <c r="AR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F840" s="11"/>
      <c r="AG840" s="11"/>
      <c r="AH840" s="11"/>
      <c r="AK840" s="11"/>
      <c r="AL840" s="11"/>
      <c r="AM840" s="11"/>
      <c r="AP840" s="11"/>
      <c r="AQ840" s="11"/>
      <c r="AR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F841" s="11"/>
      <c r="AG841" s="11"/>
      <c r="AH841" s="11"/>
      <c r="AK841" s="11"/>
      <c r="AL841" s="11"/>
      <c r="AM841" s="11"/>
      <c r="AP841" s="11"/>
      <c r="AQ841" s="11"/>
      <c r="AR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F842" s="11"/>
      <c r="AG842" s="11"/>
      <c r="AH842" s="11"/>
      <c r="AK842" s="11"/>
      <c r="AL842" s="11"/>
      <c r="AM842" s="11"/>
      <c r="AP842" s="11"/>
      <c r="AQ842" s="11"/>
      <c r="AR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F843" s="11"/>
      <c r="AG843" s="11"/>
      <c r="AH843" s="11"/>
      <c r="AK843" s="11"/>
      <c r="AL843" s="11"/>
      <c r="AM843" s="11"/>
      <c r="AP843" s="11"/>
      <c r="AQ843" s="11"/>
      <c r="AR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F844" s="11"/>
      <c r="AG844" s="11"/>
      <c r="AH844" s="11"/>
      <c r="AK844" s="11"/>
      <c r="AL844" s="11"/>
      <c r="AM844" s="11"/>
      <c r="AP844" s="11"/>
      <c r="AQ844" s="11"/>
      <c r="AR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F845" s="11"/>
      <c r="AG845" s="11"/>
      <c r="AH845" s="11"/>
      <c r="AK845" s="11"/>
      <c r="AL845" s="11"/>
      <c r="AM845" s="11"/>
      <c r="AP845" s="11"/>
      <c r="AQ845" s="11"/>
      <c r="AR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F846" s="11"/>
      <c r="AG846" s="11"/>
      <c r="AH846" s="11"/>
      <c r="AK846" s="11"/>
      <c r="AL846" s="11"/>
      <c r="AM846" s="11"/>
      <c r="AP846" s="11"/>
      <c r="AQ846" s="11"/>
      <c r="AR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F847" s="11"/>
      <c r="AG847" s="11"/>
      <c r="AH847" s="11"/>
      <c r="AK847" s="11"/>
      <c r="AL847" s="11"/>
      <c r="AM847" s="11"/>
      <c r="AP847" s="11"/>
      <c r="AQ847" s="11"/>
      <c r="AR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F848" s="11"/>
      <c r="AG848" s="11"/>
      <c r="AH848" s="11"/>
      <c r="AK848" s="11"/>
      <c r="AL848" s="11"/>
      <c r="AM848" s="11"/>
      <c r="AP848" s="11"/>
      <c r="AQ848" s="11"/>
      <c r="AR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F849" s="11"/>
      <c r="AG849" s="11"/>
      <c r="AH849" s="11"/>
      <c r="AK849" s="11"/>
      <c r="AL849" s="11"/>
      <c r="AM849" s="11"/>
      <c r="AP849" s="11"/>
      <c r="AQ849" s="11"/>
      <c r="AR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F850" s="11"/>
      <c r="AG850" s="11"/>
      <c r="AH850" s="11"/>
      <c r="AK850" s="11"/>
      <c r="AL850" s="11"/>
      <c r="AM850" s="11"/>
      <c r="AP850" s="11"/>
      <c r="AQ850" s="11"/>
      <c r="AR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F851" s="11"/>
      <c r="AG851" s="11"/>
      <c r="AH851" s="11"/>
      <c r="AK851" s="11"/>
      <c r="AL851" s="11"/>
      <c r="AM851" s="11"/>
      <c r="AP851" s="11"/>
      <c r="AQ851" s="11"/>
      <c r="AR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F852" s="11"/>
      <c r="AG852" s="11"/>
      <c r="AH852" s="11"/>
      <c r="AK852" s="11"/>
      <c r="AL852" s="11"/>
      <c r="AM852" s="11"/>
      <c r="AP852" s="11"/>
      <c r="AQ852" s="11"/>
      <c r="AR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F853" s="11"/>
      <c r="AG853" s="11"/>
      <c r="AH853" s="11"/>
      <c r="AK853" s="11"/>
      <c r="AL853" s="11"/>
      <c r="AM853" s="11"/>
      <c r="AP853" s="11"/>
      <c r="AQ853" s="11"/>
      <c r="AR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F854" s="11"/>
      <c r="AG854" s="11"/>
      <c r="AH854" s="11"/>
      <c r="AK854" s="11"/>
      <c r="AL854" s="11"/>
      <c r="AM854" s="11"/>
      <c r="AP854" s="11"/>
      <c r="AQ854" s="11"/>
      <c r="AR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F855" s="11"/>
      <c r="AG855" s="11"/>
      <c r="AH855" s="11"/>
      <c r="AK855" s="11"/>
      <c r="AL855" s="11"/>
      <c r="AM855" s="11"/>
      <c r="AP855" s="11"/>
      <c r="AQ855" s="11"/>
      <c r="AR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F856" s="11"/>
      <c r="AG856" s="11"/>
      <c r="AH856" s="11"/>
      <c r="AK856" s="11"/>
      <c r="AL856" s="11"/>
      <c r="AM856" s="11"/>
      <c r="AP856" s="11"/>
      <c r="AQ856" s="11"/>
      <c r="AR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F857" s="11"/>
      <c r="AG857" s="11"/>
      <c r="AH857" s="11"/>
      <c r="AK857" s="11"/>
      <c r="AL857" s="11"/>
      <c r="AM857" s="11"/>
      <c r="AP857" s="11"/>
      <c r="AQ857" s="11"/>
      <c r="AR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F858" s="11"/>
      <c r="AG858" s="11"/>
      <c r="AH858" s="11"/>
      <c r="AK858" s="11"/>
      <c r="AL858" s="11"/>
      <c r="AM858" s="11"/>
      <c r="AP858" s="11"/>
      <c r="AQ858" s="11"/>
      <c r="AR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F859" s="11"/>
      <c r="AG859" s="11"/>
      <c r="AH859" s="11"/>
      <c r="AK859" s="11"/>
      <c r="AL859" s="11"/>
      <c r="AM859" s="11"/>
      <c r="AP859" s="11"/>
      <c r="AQ859" s="11"/>
      <c r="AR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F860" s="11"/>
      <c r="AG860" s="11"/>
      <c r="AH860" s="11"/>
      <c r="AK860" s="11"/>
      <c r="AL860" s="11"/>
      <c r="AM860" s="11"/>
      <c r="AP860" s="11"/>
      <c r="AQ860" s="11"/>
      <c r="AR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F861" s="11"/>
      <c r="AG861" s="11"/>
      <c r="AH861" s="11"/>
      <c r="AK861" s="11"/>
      <c r="AL861" s="11"/>
      <c r="AM861" s="11"/>
      <c r="AP861" s="11"/>
      <c r="AQ861" s="11"/>
      <c r="AR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F862" s="11"/>
      <c r="AG862" s="11"/>
      <c r="AH862" s="11"/>
      <c r="AK862" s="11"/>
      <c r="AL862" s="11"/>
      <c r="AM862" s="11"/>
      <c r="AP862" s="11"/>
      <c r="AQ862" s="11"/>
      <c r="AR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F863" s="11"/>
      <c r="AG863" s="11"/>
      <c r="AH863" s="11"/>
      <c r="AK863" s="11"/>
      <c r="AL863" s="11"/>
      <c r="AM863" s="11"/>
      <c r="AP863" s="11"/>
      <c r="AQ863" s="11"/>
      <c r="AR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F864" s="11"/>
      <c r="AG864" s="11"/>
      <c r="AH864" s="11"/>
      <c r="AK864" s="11"/>
      <c r="AL864" s="11"/>
      <c r="AM864" s="11"/>
      <c r="AP864" s="11"/>
      <c r="AQ864" s="11"/>
      <c r="AR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F865" s="11"/>
      <c r="AG865" s="11"/>
      <c r="AH865" s="11"/>
      <c r="AK865" s="11"/>
      <c r="AL865" s="11"/>
      <c r="AM865" s="11"/>
      <c r="AP865" s="11"/>
      <c r="AQ865" s="11"/>
      <c r="AR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F866" s="11"/>
      <c r="AG866" s="11"/>
      <c r="AH866" s="11"/>
      <c r="AK866" s="11"/>
      <c r="AL866" s="11"/>
      <c r="AM866" s="11"/>
      <c r="AP866" s="11"/>
      <c r="AQ866" s="11"/>
      <c r="AR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F867" s="11"/>
      <c r="AG867" s="11"/>
      <c r="AH867" s="11"/>
      <c r="AK867" s="11"/>
      <c r="AL867" s="11"/>
      <c r="AM867" s="11"/>
      <c r="AP867" s="11"/>
      <c r="AQ867" s="11"/>
      <c r="AR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F868" s="11"/>
      <c r="AG868" s="11"/>
      <c r="AH868" s="11"/>
      <c r="AK868" s="11"/>
      <c r="AL868" s="11"/>
      <c r="AM868" s="11"/>
      <c r="AP868" s="11"/>
      <c r="AQ868" s="11"/>
      <c r="AR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F869" s="11"/>
      <c r="AG869" s="11"/>
      <c r="AH869" s="11"/>
      <c r="AK869" s="11"/>
      <c r="AL869" s="11"/>
      <c r="AM869" s="11"/>
      <c r="AP869" s="11"/>
      <c r="AQ869" s="11"/>
      <c r="AR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F870" s="11"/>
      <c r="AG870" s="11"/>
      <c r="AH870" s="11"/>
      <c r="AK870" s="11"/>
      <c r="AL870" s="11"/>
      <c r="AM870" s="11"/>
      <c r="AP870" s="11"/>
      <c r="AQ870" s="11"/>
      <c r="AR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F871" s="11"/>
      <c r="AG871" s="11"/>
      <c r="AH871" s="11"/>
      <c r="AK871" s="11"/>
      <c r="AL871" s="11"/>
      <c r="AM871" s="11"/>
      <c r="AP871" s="11"/>
      <c r="AQ871" s="11"/>
      <c r="AR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F872" s="11"/>
      <c r="AG872" s="11"/>
      <c r="AH872" s="11"/>
      <c r="AK872" s="11"/>
      <c r="AL872" s="11"/>
      <c r="AM872" s="11"/>
      <c r="AP872" s="11"/>
      <c r="AQ872" s="11"/>
      <c r="AR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F873" s="11"/>
      <c r="AG873" s="11"/>
      <c r="AH873" s="11"/>
      <c r="AK873" s="11"/>
      <c r="AL873" s="11"/>
      <c r="AM873" s="11"/>
      <c r="AP873" s="11"/>
      <c r="AQ873" s="11"/>
      <c r="AR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F874" s="11"/>
      <c r="AG874" s="11"/>
      <c r="AH874" s="11"/>
      <c r="AK874" s="11"/>
      <c r="AL874" s="11"/>
      <c r="AM874" s="11"/>
      <c r="AP874" s="11"/>
      <c r="AQ874" s="11"/>
      <c r="AR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F875" s="11"/>
      <c r="AG875" s="11"/>
      <c r="AH875" s="11"/>
      <c r="AK875" s="11"/>
      <c r="AL875" s="11"/>
      <c r="AM875" s="11"/>
      <c r="AP875" s="11"/>
      <c r="AQ875" s="11"/>
      <c r="AR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F876" s="11"/>
      <c r="AG876" s="11"/>
      <c r="AH876" s="11"/>
      <c r="AK876" s="11"/>
      <c r="AL876" s="11"/>
      <c r="AM876" s="11"/>
      <c r="AP876" s="11"/>
      <c r="AQ876" s="11"/>
      <c r="AR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F877" s="11"/>
      <c r="AG877" s="11"/>
      <c r="AH877" s="11"/>
      <c r="AK877" s="11"/>
      <c r="AL877" s="11"/>
      <c r="AM877" s="11"/>
      <c r="AP877" s="11"/>
      <c r="AQ877" s="11"/>
      <c r="AR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F878" s="11"/>
      <c r="AG878" s="11"/>
      <c r="AH878" s="11"/>
      <c r="AK878" s="11"/>
      <c r="AL878" s="11"/>
      <c r="AM878" s="11"/>
      <c r="AP878" s="11"/>
      <c r="AQ878" s="11"/>
      <c r="AR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F879" s="11"/>
      <c r="AG879" s="11"/>
      <c r="AH879" s="11"/>
      <c r="AK879" s="11"/>
      <c r="AL879" s="11"/>
      <c r="AM879" s="11"/>
      <c r="AP879" s="11"/>
      <c r="AQ879" s="11"/>
      <c r="AR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F880" s="11"/>
      <c r="AG880" s="11"/>
      <c r="AH880" s="11"/>
      <c r="AK880" s="11"/>
      <c r="AL880" s="11"/>
      <c r="AM880" s="11"/>
      <c r="AP880" s="11"/>
      <c r="AQ880" s="11"/>
      <c r="AR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F881" s="11"/>
      <c r="AG881" s="11"/>
      <c r="AH881" s="11"/>
      <c r="AK881" s="11"/>
      <c r="AL881" s="11"/>
      <c r="AM881" s="11"/>
      <c r="AP881" s="11"/>
      <c r="AQ881" s="11"/>
      <c r="AR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F882" s="11"/>
      <c r="AG882" s="11"/>
      <c r="AH882" s="11"/>
      <c r="AK882" s="11"/>
      <c r="AL882" s="11"/>
      <c r="AM882" s="11"/>
      <c r="AP882" s="11"/>
      <c r="AQ882" s="11"/>
      <c r="AR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F883" s="11"/>
      <c r="AG883" s="11"/>
      <c r="AH883" s="11"/>
      <c r="AK883" s="11"/>
      <c r="AL883" s="11"/>
      <c r="AM883" s="11"/>
      <c r="AP883" s="11"/>
      <c r="AQ883" s="11"/>
      <c r="AR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F884" s="11"/>
      <c r="AG884" s="11"/>
      <c r="AH884" s="11"/>
      <c r="AK884" s="11"/>
      <c r="AL884" s="11"/>
      <c r="AM884" s="11"/>
      <c r="AP884" s="11"/>
      <c r="AQ884" s="11"/>
      <c r="AR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F885" s="11"/>
      <c r="AG885" s="11"/>
      <c r="AH885" s="11"/>
      <c r="AK885" s="11"/>
      <c r="AL885" s="11"/>
      <c r="AM885" s="11"/>
      <c r="AP885" s="11"/>
      <c r="AQ885" s="11"/>
      <c r="AR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F886" s="11"/>
      <c r="AG886" s="11"/>
      <c r="AH886" s="11"/>
      <c r="AK886" s="11"/>
      <c r="AL886" s="11"/>
      <c r="AM886" s="11"/>
      <c r="AP886" s="11"/>
      <c r="AQ886" s="11"/>
      <c r="AR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F887" s="11"/>
      <c r="AG887" s="11"/>
      <c r="AH887" s="11"/>
      <c r="AK887" s="11"/>
      <c r="AL887" s="11"/>
      <c r="AM887" s="11"/>
      <c r="AP887" s="11"/>
      <c r="AQ887" s="11"/>
      <c r="AR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F888" s="11"/>
      <c r="AG888" s="11"/>
      <c r="AH888" s="11"/>
      <c r="AK888" s="11"/>
      <c r="AL888" s="11"/>
      <c r="AM888" s="11"/>
      <c r="AP888" s="11"/>
      <c r="AQ888" s="11"/>
      <c r="AR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F889" s="11"/>
      <c r="AG889" s="11"/>
      <c r="AH889" s="11"/>
      <c r="AK889" s="11"/>
      <c r="AL889" s="11"/>
      <c r="AM889" s="11"/>
      <c r="AP889" s="11"/>
      <c r="AQ889" s="11"/>
      <c r="AR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F890" s="11"/>
      <c r="AG890" s="11"/>
      <c r="AH890" s="11"/>
      <c r="AK890" s="11"/>
      <c r="AL890" s="11"/>
      <c r="AM890" s="11"/>
      <c r="AP890" s="11"/>
      <c r="AQ890" s="11"/>
      <c r="AR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F891" s="11"/>
      <c r="AG891" s="11"/>
      <c r="AH891" s="11"/>
      <c r="AK891" s="11"/>
      <c r="AL891" s="11"/>
      <c r="AM891" s="11"/>
      <c r="AP891" s="11"/>
      <c r="AQ891" s="11"/>
      <c r="AR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F892" s="11"/>
      <c r="AG892" s="11"/>
      <c r="AH892" s="11"/>
      <c r="AK892" s="11"/>
      <c r="AL892" s="11"/>
      <c r="AM892" s="11"/>
      <c r="AP892" s="11"/>
      <c r="AQ892" s="11"/>
      <c r="AR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F893" s="11"/>
      <c r="AG893" s="11"/>
      <c r="AH893" s="11"/>
      <c r="AK893" s="11"/>
      <c r="AL893" s="11"/>
      <c r="AM893" s="11"/>
      <c r="AP893" s="11"/>
      <c r="AQ893" s="11"/>
      <c r="AR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F894" s="11"/>
      <c r="AG894" s="11"/>
      <c r="AH894" s="11"/>
      <c r="AK894" s="11"/>
      <c r="AL894" s="11"/>
      <c r="AM894" s="11"/>
      <c r="AP894" s="11"/>
      <c r="AQ894" s="11"/>
      <c r="AR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F895" s="11"/>
      <c r="AG895" s="11"/>
      <c r="AH895" s="11"/>
      <c r="AK895" s="11"/>
      <c r="AL895" s="11"/>
      <c r="AM895" s="11"/>
      <c r="AP895" s="11"/>
      <c r="AQ895" s="11"/>
      <c r="AR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F896" s="11"/>
      <c r="AG896" s="11"/>
      <c r="AH896" s="11"/>
      <c r="AK896" s="11"/>
      <c r="AL896" s="11"/>
      <c r="AM896" s="11"/>
      <c r="AP896" s="11"/>
      <c r="AQ896" s="11"/>
      <c r="AR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F897" s="11"/>
      <c r="AG897" s="11"/>
      <c r="AH897" s="11"/>
      <c r="AK897" s="11"/>
      <c r="AL897" s="11"/>
      <c r="AM897" s="11"/>
      <c r="AP897" s="11"/>
      <c r="AQ897" s="11"/>
      <c r="AR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F898" s="11"/>
      <c r="AG898" s="11"/>
      <c r="AH898" s="11"/>
      <c r="AK898" s="11"/>
      <c r="AL898" s="11"/>
      <c r="AM898" s="11"/>
      <c r="AP898" s="11"/>
      <c r="AQ898" s="11"/>
      <c r="AR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F899" s="11"/>
      <c r="AG899" s="11"/>
      <c r="AH899" s="11"/>
      <c r="AK899" s="11"/>
      <c r="AL899" s="11"/>
      <c r="AM899" s="11"/>
      <c r="AP899" s="11"/>
      <c r="AQ899" s="11"/>
      <c r="AR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F900" s="11"/>
      <c r="AG900" s="11"/>
      <c r="AH900" s="11"/>
      <c r="AK900" s="11"/>
      <c r="AL900" s="11"/>
      <c r="AM900" s="11"/>
      <c r="AP900" s="11"/>
      <c r="AQ900" s="11"/>
      <c r="AR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F901" s="11"/>
      <c r="AG901" s="11"/>
      <c r="AH901" s="11"/>
      <c r="AK901" s="11"/>
      <c r="AL901" s="11"/>
      <c r="AM901" s="11"/>
      <c r="AP901" s="11"/>
      <c r="AQ901" s="11"/>
      <c r="AR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F902" s="11"/>
      <c r="AG902" s="11"/>
      <c r="AH902" s="11"/>
      <c r="AK902" s="11"/>
      <c r="AL902" s="11"/>
      <c r="AM902" s="11"/>
      <c r="AP902" s="11"/>
      <c r="AQ902" s="11"/>
      <c r="AR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F903" s="11"/>
      <c r="AG903" s="11"/>
      <c r="AH903" s="11"/>
      <c r="AK903" s="11"/>
      <c r="AL903" s="11"/>
      <c r="AM903" s="11"/>
      <c r="AP903" s="11"/>
      <c r="AQ903" s="11"/>
      <c r="AR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F904" s="11"/>
      <c r="AG904" s="11"/>
      <c r="AH904" s="11"/>
      <c r="AK904" s="11"/>
      <c r="AL904" s="11"/>
      <c r="AM904" s="11"/>
      <c r="AP904" s="11"/>
      <c r="AQ904" s="11"/>
      <c r="AR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F905" s="11"/>
      <c r="AG905" s="11"/>
      <c r="AH905" s="11"/>
      <c r="AK905" s="11"/>
      <c r="AL905" s="11"/>
      <c r="AM905" s="11"/>
      <c r="AP905" s="11"/>
      <c r="AQ905" s="11"/>
      <c r="AR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F906" s="11"/>
      <c r="AG906" s="11"/>
      <c r="AH906" s="11"/>
      <c r="AK906" s="11"/>
      <c r="AL906" s="11"/>
      <c r="AM906" s="11"/>
      <c r="AP906" s="11"/>
      <c r="AQ906" s="11"/>
      <c r="AR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F907" s="11"/>
      <c r="AG907" s="11"/>
      <c r="AH907" s="11"/>
      <c r="AK907" s="11"/>
      <c r="AL907" s="11"/>
      <c r="AM907" s="11"/>
      <c r="AP907" s="11"/>
      <c r="AQ907" s="11"/>
      <c r="AR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F908" s="11"/>
      <c r="AG908" s="11"/>
      <c r="AH908" s="11"/>
      <c r="AK908" s="11"/>
      <c r="AL908" s="11"/>
      <c r="AM908" s="11"/>
      <c r="AP908" s="11"/>
      <c r="AQ908" s="11"/>
      <c r="AR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F909" s="11"/>
      <c r="AG909" s="11"/>
      <c r="AH909" s="11"/>
      <c r="AK909" s="11"/>
      <c r="AL909" s="11"/>
      <c r="AM909" s="11"/>
      <c r="AP909" s="11"/>
      <c r="AQ909" s="11"/>
      <c r="AR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F910" s="11"/>
      <c r="AG910" s="11"/>
      <c r="AH910" s="11"/>
      <c r="AK910" s="11"/>
      <c r="AL910" s="11"/>
      <c r="AM910" s="11"/>
      <c r="AP910" s="11"/>
      <c r="AQ910" s="11"/>
      <c r="AR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F911" s="11"/>
      <c r="AG911" s="11"/>
      <c r="AH911" s="11"/>
      <c r="AK911" s="11"/>
      <c r="AL911" s="11"/>
      <c r="AM911" s="11"/>
      <c r="AP911" s="11"/>
      <c r="AQ911" s="11"/>
      <c r="AR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F912" s="11"/>
      <c r="AG912" s="11"/>
      <c r="AH912" s="11"/>
      <c r="AK912" s="11"/>
      <c r="AL912" s="11"/>
      <c r="AM912" s="11"/>
      <c r="AP912" s="11"/>
      <c r="AQ912" s="11"/>
      <c r="AR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F913" s="11"/>
      <c r="AG913" s="11"/>
      <c r="AH913" s="11"/>
      <c r="AK913" s="11"/>
      <c r="AL913" s="11"/>
      <c r="AM913" s="11"/>
      <c r="AP913" s="11"/>
      <c r="AQ913" s="11"/>
      <c r="AR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F914" s="11"/>
      <c r="AG914" s="11"/>
      <c r="AH914" s="11"/>
      <c r="AK914" s="11"/>
      <c r="AL914" s="11"/>
      <c r="AM914" s="11"/>
      <c r="AP914" s="11"/>
      <c r="AQ914" s="11"/>
      <c r="AR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F915" s="11"/>
      <c r="AG915" s="11"/>
      <c r="AH915" s="11"/>
      <c r="AK915" s="11"/>
      <c r="AL915" s="11"/>
      <c r="AM915" s="11"/>
      <c r="AP915" s="11"/>
      <c r="AQ915" s="11"/>
      <c r="AR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F916" s="11"/>
      <c r="AG916" s="11"/>
      <c r="AH916" s="11"/>
      <c r="AK916" s="11"/>
      <c r="AL916" s="11"/>
      <c r="AM916" s="11"/>
      <c r="AP916" s="11"/>
      <c r="AQ916" s="11"/>
      <c r="AR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F917" s="11"/>
      <c r="AG917" s="11"/>
      <c r="AH917" s="11"/>
      <c r="AK917" s="11"/>
      <c r="AL917" s="11"/>
      <c r="AM917" s="11"/>
      <c r="AP917" s="11"/>
      <c r="AQ917" s="11"/>
      <c r="AR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F918" s="11"/>
      <c r="AG918" s="11"/>
      <c r="AH918" s="11"/>
      <c r="AK918" s="11"/>
      <c r="AL918" s="11"/>
      <c r="AM918" s="11"/>
      <c r="AP918" s="11"/>
      <c r="AQ918" s="11"/>
      <c r="AR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F919" s="11"/>
      <c r="AG919" s="11"/>
      <c r="AH919" s="11"/>
      <c r="AK919" s="11"/>
      <c r="AL919" s="11"/>
      <c r="AM919" s="11"/>
      <c r="AP919" s="11"/>
      <c r="AQ919" s="11"/>
      <c r="AR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F920" s="11"/>
      <c r="AG920" s="11"/>
      <c r="AH920" s="11"/>
      <c r="AK920" s="11"/>
      <c r="AL920" s="11"/>
      <c r="AM920" s="11"/>
      <c r="AP920" s="11"/>
      <c r="AQ920" s="11"/>
      <c r="AR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F921" s="11"/>
      <c r="AG921" s="11"/>
      <c r="AH921" s="11"/>
      <c r="AK921" s="11"/>
      <c r="AL921" s="11"/>
      <c r="AM921" s="11"/>
      <c r="AP921" s="11"/>
      <c r="AQ921" s="11"/>
      <c r="AR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F922" s="11"/>
      <c r="AG922" s="11"/>
      <c r="AH922" s="11"/>
      <c r="AK922" s="11"/>
      <c r="AL922" s="11"/>
      <c r="AM922" s="11"/>
      <c r="AP922" s="11"/>
      <c r="AQ922" s="11"/>
      <c r="AR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F923" s="11"/>
      <c r="AG923" s="11"/>
      <c r="AH923" s="11"/>
      <c r="AK923" s="11"/>
      <c r="AL923" s="11"/>
      <c r="AM923" s="11"/>
      <c r="AP923" s="11"/>
      <c r="AQ923" s="11"/>
      <c r="AR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F924" s="11"/>
      <c r="AG924" s="11"/>
      <c r="AH924" s="11"/>
      <c r="AK924" s="11"/>
      <c r="AL924" s="11"/>
      <c r="AM924" s="11"/>
      <c r="AP924" s="11"/>
      <c r="AQ924" s="11"/>
      <c r="AR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F925" s="11"/>
      <c r="AG925" s="11"/>
      <c r="AH925" s="11"/>
      <c r="AK925" s="11"/>
      <c r="AL925" s="11"/>
      <c r="AM925" s="11"/>
      <c r="AP925" s="11"/>
      <c r="AQ925" s="11"/>
      <c r="AR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F926" s="11"/>
      <c r="AG926" s="11"/>
      <c r="AH926" s="11"/>
      <c r="AK926" s="11"/>
      <c r="AL926" s="11"/>
      <c r="AM926" s="11"/>
      <c r="AP926" s="11"/>
      <c r="AQ926" s="11"/>
      <c r="AR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F927" s="11"/>
      <c r="AG927" s="11"/>
      <c r="AH927" s="11"/>
      <c r="AK927" s="11"/>
      <c r="AL927" s="11"/>
      <c r="AM927" s="11"/>
      <c r="AP927" s="11"/>
      <c r="AQ927" s="11"/>
      <c r="AR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F928" s="11"/>
      <c r="AG928" s="11"/>
      <c r="AH928" s="11"/>
      <c r="AK928" s="11"/>
      <c r="AL928" s="11"/>
      <c r="AM928" s="11"/>
      <c r="AP928" s="11"/>
      <c r="AQ928" s="11"/>
      <c r="AR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F929" s="11"/>
      <c r="AG929" s="11"/>
      <c r="AH929" s="11"/>
      <c r="AK929" s="11"/>
      <c r="AL929" s="11"/>
      <c r="AM929" s="11"/>
      <c r="AP929" s="11"/>
      <c r="AQ929" s="11"/>
      <c r="AR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F930" s="11"/>
      <c r="AG930" s="11"/>
      <c r="AH930" s="11"/>
      <c r="AK930" s="11"/>
      <c r="AL930" s="11"/>
      <c r="AM930" s="11"/>
      <c r="AP930" s="11"/>
      <c r="AQ930" s="11"/>
      <c r="AR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F931" s="11"/>
      <c r="AG931" s="11"/>
      <c r="AH931" s="11"/>
      <c r="AK931" s="11"/>
      <c r="AL931" s="11"/>
      <c r="AM931" s="11"/>
      <c r="AP931" s="11"/>
      <c r="AQ931" s="11"/>
      <c r="AR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F932" s="11"/>
      <c r="AG932" s="11"/>
      <c r="AH932" s="11"/>
      <c r="AK932" s="11"/>
      <c r="AL932" s="11"/>
      <c r="AM932" s="11"/>
      <c r="AP932" s="11"/>
      <c r="AQ932" s="11"/>
      <c r="AR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F933" s="11"/>
      <c r="AG933" s="11"/>
      <c r="AH933" s="11"/>
      <c r="AK933" s="11"/>
      <c r="AL933" s="11"/>
      <c r="AM933" s="11"/>
      <c r="AP933" s="11"/>
      <c r="AQ933" s="11"/>
      <c r="AR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F934" s="11"/>
      <c r="AG934" s="11"/>
      <c r="AH934" s="11"/>
      <c r="AK934" s="11"/>
      <c r="AL934" s="11"/>
      <c r="AM934" s="11"/>
      <c r="AP934" s="11"/>
      <c r="AQ934" s="11"/>
      <c r="AR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F935" s="11"/>
      <c r="AG935" s="11"/>
      <c r="AH935" s="11"/>
      <c r="AK935" s="11"/>
      <c r="AL935" s="11"/>
      <c r="AM935" s="11"/>
      <c r="AP935" s="11"/>
      <c r="AQ935" s="11"/>
      <c r="AR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F936" s="11"/>
      <c r="AG936" s="11"/>
      <c r="AH936" s="11"/>
      <c r="AK936" s="11"/>
      <c r="AL936" s="11"/>
      <c r="AM936" s="11"/>
      <c r="AP936" s="11"/>
      <c r="AQ936" s="11"/>
      <c r="AR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F937" s="11"/>
      <c r="AG937" s="11"/>
      <c r="AH937" s="11"/>
      <c r="AK937" s="11"/>
      <c r="AL937" s="11"/>
      <c r="AM937" s="11"/>
      <c r="AP937" s="11"/>
      <c r="AQ937" s="11"/>
      <c r="AR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F938" s="11"/>
      <c r="AG938" s="11"/>
      <c r="AH938" s="11"/>
      <c r="AK938" s="11"/>
      <c r="AL938" s="11"/>
      <c r="AM938" s="11"/>
      <c r="AP938" s="11"/>
      <c r="AQ938" s="11"/>
      <c r="AR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F939" s="11"/>
      <c r="AG939" s="11"/>
      <c r="AH939" s="11"/>
      <c r="AK939" s="11"/>
      <c r="AL939" s="11"/>
      <c r="AM939" s="11"/>
      <c r="AP939" s="11"/>
      <c r="AQ939" s="11"/>
      <c r="AR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F940" s="11"/>
      <c r="AG940" s="11"/>
      <c r="AH940" s="11"/>
      <c r="AK940" s="11"/>
      <c r="AL940" s="11"/>
      <c r="AM940" s="11"/>
      <c r="AP940" s="11"/>
      <c r="AQ940" s="11"/>
      <c r="AR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F941" s="11"/>
      <c r="AG941" s="11"/>
      <c r="AH941" s="11"/>
      <c r="AK941" s="11"/>
      <c r="AL941" s="11"/>
      <c r="AM941" s="11"/>
      <c r="AP941" s="11"/>
      <c r="AQ941" s="11"/>
      <c r="AR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F942" s="11"/>
      <c r="AG942" s="11"/>
      <c r="AH942" s="11"/>
      <c r="AK942" s="11"/>
      <c r="AL942" s="11"/>
      <c r="AM942" s="11"/>
      <c r="AP942" s="11"/>
      <c r="AQ942" s="11"/>
      <c r="AR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F943" s="11"/>
      <c r="AG943" s="11"/>
      <c r="AH943" s="11"/>
      <c r="AK943" s="11"/>
      <c r="AL943" s="11"/>
      <c r="AM943" s="11"/>
      <c r="AP943" s="11"/>
      <c r="AQ943" s="11"/>
      <c r="AR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F944" s="11"/>
      <c r="AG944" s="11"/>
      <c r="AH944" s="11"/>
      <c r="AK944" s="11"/>
      <c r="AL944" s="11"/>
      <c r="AM944" s="11"/>
      <c r="AP944" s="11"/>
      <c r="AQ944" s="11"/>
      <c r="AR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F945" s="11"/>
      <c r="AG945" s="11"/>
      <c r="AH945" s="11"/>
      <c r="AK945" s="11"/>
      <c r="AL945" s="11"/>
      <c r="AM945" s="11"/>
      <c r="AP945" s="11"/>
      <c r="AQ945" s="11"/>
      <c r="AR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F946" s="11"/>
      <c r="AG946" s="11"/>
      <c r="AH946" s="11"/>
      <c r="AK946" s="11"/>
      <c r="AL946" s="11"/>
      <c r="AM946" s="11"/>
      <c r="AP946" s="11"/>
      <c r="AQ946" s="11"/>
      <c r="AR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F947" s="11"/>
      <c r="AG947" s="11"/>
      <c r="AH947" s="11"/>
      <c r="AK947" s="11"/>
      <c r="AL947" s="11"/>
      <c r="AM947" s="11"/>
      <c r="AP947" s="11"/>
      <c r="AQ947" s="11"/>
      <c r="AR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F948" s="11"/>
      <c r="AG948" s="11"/>
      <c r="AH948" s="11"/>
      <c r="AK948" s="11"/>
      <c r="AL948" s="11"/>
      <c r="AM948" s="11"/>
      <c r="AP948" s="11"/>
      <c r="AQ948" s="11"/>
      <c r="AR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F949" s="11"/>
      <c r="AG949" s="11"/>
      <c r="AH949" s="11"/>
      <c r="AK949" s="11"/>
      <c r="AL949" s="11"/>
      <c r="AM949" s="11"/>
      <c r="AP949" s="11"/>
      <c r="AQ949" s="11"/>
      <c r="AR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F950" s="11"/>
      <c r="AG950" s="11"/>
      <c r="AH950" s="11"/>
      <c r="AK950" s="11"/>
      <c r="AL950" s="11"/>
      <c r="AM950" s="11"/>
      <c r="AP950" s="11"/>
      <c r="AQ950" s="11"/>
      <c r="AR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F951" s="11"/>
      <c r="AG951" s="11"/>
      <c r="AH951" s="11"/>
      <c r="AK951" s="11"/>
      <c r="AL951" s="11"/>
      <c r="AM951" s="11"/>
      <c r="AP951" s="11"/>
      <c r="AQ951" s="11"/>
      <c r="AR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F952" s="11"/>
      <c r="AG952" s="11"/>
      <c r="AH952" s="11"/>
      <c r="AK952" s="11"/>
      <c r="AL952" s="11"/>
      <c r="AM952" s="11"/>
      <c r="AP952" s="11"/>
      <c r="AQ952" s="11"/>
      <c r="AR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F953" s="11"/>
      <c r="AG953" s="11"/>
      <c r="AH953" s="11"/>
      <c r="AK953" s="11"/>
      <c r="AL953" s="11"/>
      <c r="AM953" s="11"/>
      <c r="AP953" s="11"/>
      <c r="AQ953" s="11"/>
      <c r="AR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F954" s="11"/>
      <c r="AG954" s="11"/>
      <c r="AH954" s="11"/>
      <c r="AK954" s="11"/>
      <c r="AL954" s="11"/>
      <c r="AM954" s="11"/>
      <c r="AP954" s="11"/>
      <c r="AQ954" s="11"/>
      <c r="AR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F955" s="11"/>
      <c r="AG955" s="11"/>
      <c r="AH955" s="11"/>
      <c r="AK955" s="11"/>
      <c r="AL955" s="11"/>
      <c r="AM955" s="11"/>
      <c r="AP955" s="11"/>
      <c r="AQ955" s="11"/>
      <c r="AR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F956" s="11"/>
      <c r="AG956" s="11"/>
      <c r="AH956" s="11"/>
      <c r="AK956" s="11"/>
      <c r="AL956" s="11"/>
      <c r="AM956" s="11"/>
      <c r="AP956" s="11"/>
      <c r="AQ956" s="11"/>
      <c r="AR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F957" s="11"/>
      <c r="AG957" s="11"/>
      <c r="AH957" s="11"/>
      <c r="AK957" s="11"/>
      <c r="AL957" s="11"/>
      <c r="AM957" s="11"/>
      <c r="AP957" s="11"/>
      <c r="AQ957" s="11"/>
      <c r="AR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F958" s="11"/>
      <c r="AG958" s="11"/>
      <c r="AH958" s="11"/>
      <c r="AK958" s="11"/>
      <c r="AL958" s="11"/>
      <c r="AM958" s="11"/>
      <c r="AP958" s="11"/>
      <c r="AQ958" s="11"/>
      <c r="AR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F959" s="11"/>
      <c r="AG959" s="11"/>
      <c r="AH959" s="11"/>
      <c r="AK959" s="11"/>
      <c r="AL959" s="11"/>
      <c r="AM959" s="11"/>
      <c r="AP959" s="11"/>
      <c r="AQ959" s="11"/>
      <c r="AR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F960" s="11"/>
      <c r="AG960" s="11"/>
      <c r="AH960" s="11"/>
      <c r="AK960" s="11"/>
      <c r="AL960" s="11"/>
      <c r="AM960" s="11"/>
      <c r="AP960" s="11"/>
      <c r="AQ960" s="11"/>
      <c r="AR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F961" s="11"/>
      <c r="AG961" s="11"/>
      <c r="AH961" s="11"/>
      <c r="AK961" s="11"/>
      <c r="AL961" s="11"/>
      <c r="AM961" s="11"/>
      <c r="AP961" s="11"/>
      <c r="AQ961" s="11"/>
      <c r="AR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F962" s="11"/>
      <c r="AG962" s="11"/>
      <c r="AH962" s="11"/>
      <c r="AK962" s="11"/>
      <c r="AL962" s="11"/>
      <c r="AM962" s="11"/>
      <c r="AP962" s="11"/>
      <c r="AQ962" s="11"/>
      <c r="AR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F963" s="11"/>
      <c r="AG963" s="11"/>
      <c r="AH963" s="11"/>
      <c r="AK963" s="11"/>
      <c r="AL963" s="11"/>
      <c r="AM963" s="11"/>
      <c r="AP963" s="11"/>
      <c r="AQ963" s="11"/>
      <c r="AR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F964" s="11"/>
      <c r="AG964" s="11"/>
      <c r="AH964" s="11"/>
      <c r="AK964" s="11"/>
      <c r="AL964" s="11"/>
      <c r="AM964" s="11"/>
      <c r="AP964" s="11"/>
      <c r="AQ964" s="11"/>
      <c r="AR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F965" s="11"/>
      <c r="AG965" s="11"/>
      <c r="AH965" s="11"/>
      <c r="AK965" s="11"/>
      <c r="AL965" s="11"/>
      <c r="AM965" s="11"/>
      <c r="AP965" s="11"/>
      <c r="AQ965" s="11"/>
      <c r="AR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F966" s="11"/>
      <c r="AG966" s="11"/>
      <c r="AH966" s="11"/>
      <c r="AK966" s="11"/>
      <c r="AL966" s="11"/>
      <c r="AM966" s="11"/>
      <c r="AP966" s="11"/>
      <c r="AQ966" s="11"/>
      <c r="AR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F967" s="11"/>
      <c r="AG967" s="11"/>
      <c r="AH967" s="11"/>
      <c r="AK967" s="11"/>
      <c r="AL967" s="11"/>
      <c r="AM967" s="11"/>
      <c r="AP967" s="11"/>
      <c r="AQ967" s="11"/>
      <c r="AR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F968" s="11"/>
      <c r="AG968" s="11"/>
      <c r="AH968" s="11"/>
      <c r="AK968" s="11"/>
      <c r="AL968" s="11"/>
      <c r="AM968" s="11"/>
      <c r="AP968" s="11"/>
      <c r="AQ968" s="11"/>
      <c r="AR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F969" s="11"/>
      <c r="AG969" s="11"/>
      <c r="AH969" s="11"/>
      <c r="AK969" s="11"/>
      <c r="AL969" s="11"/>
      <c r="AM969" s="11"/>
      <c r="AP969" s="11"/>
      <c r="AQ969" s="11"/>
      <c r="AR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F970" s="11"/>
      <c r="AG970" s="11"/>
      <c r="AH970" s="11"/>
      <c r="AK970" s="11"/>
      <c r="AL970" s="11"/>
      <c r="AM970" s="11"/>
      <c r="AP970" s="11"/>
      <c r="AQ970" s="11"/>
      <c r="AR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F971" s="11"/>
      <c r="AG971" s="11"/>
      <c r="AH971" s="11"/>
      <c r="AK971" s="11"/>
      <c r="AL971" s="11"/>
      <c r="AM971" s="11"/>
      <c r="AP971" s="11"/>
      <c r="AQ971" s="11"/>
      <c r="AR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F972" s="11"/>
      <c r="AG972" s="11"/>
      <c r="AH972" s="11"/>
      <c r="AK972" s="11"/>
      <c r="AL972" s="11"/>
      <c r="AM972" s="11"/>
      <c r="AP972" s="11"/>
      <c r="AQ972" s="11"/>
      <c r="AR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F973" s="11"/>
      <c r="AG973" s="11"/>
      <c r="AH973" s="11"/>
      <c r="AK973" s="11"/>
      <c r="AL973" s="11"/>
      <c r="AM973" s="11"/>
      <c r="AP973" s="11"/>
      <c r="AQ973" s="11"/>
      <c r="AR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F974" s="11"/>
      <c r="AG974" s="11"/>
      <c r="AH974" s="11"/>
      <c r="AK974" s="11"/>
      <c r="AL974" s="11"/>
      <c r="AM974" s="11"/>
      <c r="AP974" s="11"/>
      <c r="AQ974" s="11"/>
      <c r="AR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F975" s="11"/>
      <c r="AG975" s="11"/>
      <c r="AH975" s="11"/>
      <c r="AK975" s="11"/>
      <c r="AL975" s="11"/>
      <c r="AM975" s="11"/>
      <c r="AP975" s="11"/>
      <c r="AQ975" s="11"/>
      <c r="AR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F976" s="11"/>
      <c r="AG976" s="11"/>
      <c r="AH976" s="11"/>
      <c r="AK976" s="11"/>
      <c r="AL976" s="11"/>
      <c r="AM976" s="11"/>
      <c r="AP976" s="11"/>
      <c r="AQ976" s="11"/>
      <c r="AR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F977" s="11"/>
      <c r="AG977" s="11"/>
      <c r="AH977" s="11"/>
      <c r="AK977" s="11"/>
      <c r="AL977" s="11"/>
      <c r="AM977" s="11"/>
      <c r="AP977" s="11"/>
      <c r="AQ977" s="11"/>
      <c r="AR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F978" s="11"/>
      <c r="AG978" s="11"/>
      <c r="AH978" s="11"/>
      <c r="AK978" s="11"/>
      <c r="AL978" s="11"/>
      <c r="AM978" s="11"/>
      <c r="AP978" s="11"/>
      <c r="AQ978" s="11"/>
      <c r="AR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F979" s="11"/>
      <c r="AG979" s="11"/>
      <c r="AH979" s="11"/>
      <c r="AK979" s="11"/>
      <c r="AL979" s="11"/>
      <c r="AM979" s="11"/>
      <c r="AP979" s="11"/>
      <c r="AQ979" s="11"/>
      <c r="AR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F980" s="11"/>
      <c r="AG980" s="11"/>
      <c r="AH980" s="11"/>
      <c r="AK980" s="11"/>
      <c r="AL980" s="11"/>
      <c r="AM980" s="11"/>
      <c r="AP980" s="11"/>
      <c r="AQ980" s="11"/>
      <c r="AR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F981" s="11"/>
      <c r="AG981" s="11"/>
      <c r="AH981" s="11"/>
      <c r="AK981" s="11"/>
      <c r="AL981" s="11"/>
      <c r="AM981" s="11"/>
      <c r="AP981" s="11"/>
      <c r="AQ981" s="11"/>
      <c r="AR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F982" s="11"/>
      <c r="AG982" s="11"/>
      <c r="AH982" s="11"/>
      <c r="AK982" s="11"/>
      <c r="AL982" s="11"/>
      <c r="AM982" s="11"/>
      <c r="AP982" s="11"/>
      <c r="AQ982" s="11"/>
      <c r="AR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F983" s="11"/>
      <c r="AG983" s="11"/>
      <c r="AH983" s="11"/>
      <c r="AK983" s="11"/>
      <c r="AL983" s="11"/>
      <c r="AM983" s="11"/>
      <c r="AP983" s="11"/>
      <c r="AQ983" s="11"/>
      <c r="AR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F984" s="11"/>
      <c r="AG984" s="11"/>
      <c r="AH984" s="11"/>
      <c r="AK984" s="11"/>
      <c r="AL984" s="11"/>
      <c r="AM984" s="11"/>
      <c r="AP984" s="11"/>
      <c r="AQ984" s="11"/>
      <c r="AR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F985" s="11"/>
      <c r="AG985" s="11"/>
      <c r="AH985" s="11"/>
      <c r="AK985" s="11"/>
      <c r="AL985" s="11"/>
      <c r="AM985" s="11"/>
      <c r="AP985" s="11"/>
      <c r="AQ985" s="11"/>
      <c r="AR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F986" s="11"/>
      <c r="AG986" s="11"/>
      <c r="AH986" s="11"/>
      <c r="AK986" s="11"/>
      <c r="AL986" s="11"/>
      <c r="AM986" s="11"/>
      <c r="AP986" s="11"/>
      <c r="AQ986" s="11"/>
      <c r="AR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F987" s="11"/>
      <c r="AG987" s="11"/>
      <c r="AH987" s="11"/>
      <c r="AK987" s="11"/>
      <c r="AL987" s="11"/>
      <c r="AM987" s="11"/>
      <c r="AP987" s="11"/>
      <c r="AQ987" s="11"/>
      <c r="AR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F988" s="11"/>
      <c r="AG988" s="11"/>
      <c r="AH988" s="11"/>
      <c r="AK988" s="11"/>
      <c r="AL988" s="11"/>
      <c r="AM988" s="11"/>
      <c r="AP988" s="11"/>
      <c r="AQ988" s="11"/>
      <c r="AR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F989" s="11"/>
      <c r="AG989" s="11"/>
      <c r="AH989" s="11"/>
      <c r="AK989" s="11"/>
      <c r="AL989" s="11"/>
      <c r="AM989" s="11"/>
      <c r="AP989" s="11"/>
      <c r="AQ989" s="11"/>
      <c r="AR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F990" s="11"/>
      <c r="AG990" s="11"/>
      <c r="AH990" s="11"/>
      <c r="AK990" s="11"/>
      <c r="AL990" s="11"/>
      <c r="AM990" s="11"/>
      <c r="AP990" s="11"/>
      <c r="AQ990" s="11"/>
      <c r="AR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F991" s="11"/>
      <c r="AG991" s="11"/>
      <c r="AH991" s="11"/>
      <c r="AK991" s="11"/>
      <c r="AL991" s="11"/>
      <c r="AM991" s="11"/>
      <c r="AP991" s="11"/>
      <c r="AQ991" s="11"/>
      <c r="AR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F992" s="11"/>
      <c r="AG992" s="11"/>
      <c r="AH992" s="11"/>
      <c r="AK992" s="11"/>
      <c r="AL992" s="11"/>
      <c r="AM992" s="11"/>
      <c r="AP992" s="11"/>
      <c r="AQ992" s="11"/>
      <c r="AR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F993" s="11"/>
      <c r="AG993" s="11"/>
      <c r="AH993" s="11"/>
      <c r="AK993" s="11"/>
      <c r="AL993" s="11"/>
      <c r="AM993" s="11"/>
      <c r="AP993" s="11"/>
      <c r="AQ993" s="11"/>
      <c r="AR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F994" s="11"/>
      <c r="AG994" s="11"/>
      <c r="AH994" s="11"/>
      <c r="AK994" s="11"/>
      <c r="AL994" s="11"/>
      <c r="AM994" s="11"/>
      <c r="AP994" s="11"/>
      <c r="AQ994" s="11"/>
      <c r="AR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F995" s="11"/>
      <c r="AG995" s="11"/>
      <c r="AH995" s="11"/>
      <c r="AK995" s="11"/>
      <c r="AL995" s="11"/>
      <c r="AM995" s="11"/>
      <c r="AP995" s="11"/>
      <c r="AQ995" s="11"/>
      <c r="AR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F996" s="11"/>
      <c r="AG996" s="11"/>
      <c r="AH996" s="11"/>
      <c r="AK996" s="11"/>
      <c r="AL996" s="11"/>
      <c r="AM996" s="11"/>
      <c r="AP996" s="11"/>
      <c r="AQ996" s="11"/>
      <c r="AR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F997" s="11"/>
      <c r="AG997" s="11"/>
      <c r="AH997" s="11"/>
      <c r="AK997" s="11"/>
      <c r="AL997" s="11"/>
      <c r="AM997" s="11"/>
      <c r="AP997" s="11"/>
      <c r="AQ997" s="11"/>
      <c r="AR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F998" s="11"/>
      <c r="AG998" s="11"/>
      <c r="AH998" s="11"/>
      <c r="AK998" s="11"/>
      <c r="AL998" s="11"/>
      <c r="AM998" s="11"/>
      <c r="AP998" s="11"/>
      <c r="AQ998" s="11"/>
      <c r="AR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F999" s="11"/>
      <c r="AG999" s="11"/>
      <c r="AH999" s="11"/>
      <c r="AK999" s="11"/>
      <c r="AL999" s="11"/>
      <c r="AM999" s="11"/>
      <c r="AP999" s="11"/>
      <c r="AQ999" s="11"/>
      <c r="AR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F1000" s="11"/>
      <c r="AG1000" s="11"/>
      <c r="AH1000" s="11"/>
      <c r="AK1000" s="11"/>
      <c r="AL1000" s="11"/>
      <c r="AM1000" s="11"/>
      <c r="AP1000" s="11"/>
      <c r="AQ1000" s="11"/>
      <c r="AR1000" s="11"/>
    </row>
  </sheetData>
  <mergeCells count="2">
    <mergeCell ref="A35:A40"/>
    <mergeCell ref="B35:E40"/>
  </mergeCells>
  <dataValidations>
    <dataValidation type="list" allowBlank="1" sqref="S13:S21">
      <formula1>"Cukup,Kurang,Baik"</formula1>
    </dataValidation>
    <dataValidation type="custom" allowBlank="1" showDropDown="1" sqref="AF2:AH8 AA2:AC8 Q2:S8 V2:X8 AK2:AM8 AP2:AR8 G2:I8 B2:D8 L2:N8 B13:P21 T13:Y21">
      <formula1>AND(ISNUMBER(B2),(NOT(OR(NOT(ISERROR(DATEVALUE(B2))), AND(ISNUMBER(B2), LEFT(CELL("format", B2))="D")))))</formula1>
    </dataValidation>
    <dataValidation type="list" allowBlank="1" sqref="Q13:R21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17.38"/>
    <col customWidth="1" min="3" max="3" width="16.88"/>
    <col customWidth="1" min="4" max="4" width="26.25"/>
    <col customWidth="1" min="5" max="5" width="18.38"/>
    <col customWidth="1" min="6" max="6" width="14.0"/>
    <col customWidth="1" min="7" max="7" width="17.38"/>
    <col customWidth="1" min="8" max="8" width="16.88"/>
    <col customWidth="1" min="9" max="11" width="14.0"/>
    <col customWidth="1" min="12" max="12" width="17.38"/>
    <col customWidth="1" min="13" max="13" width="14.75"/>
    <col customWidth="1" min="14" max="14" width="14.0"/>
    <col customWidth="1" min="15" max="15" width="8.63"/>
    <col customWidth="1" min="16" max="16" width="14.0"/>
    <col customWidth="1" min="17" max="17" width="17.38"/>
    <col customWidth="1" min="18" max="18" width="16.75"/>
    <col customWidth="1" min="19" max="19" width="14.0"/>
    <col customWidth="1" min="20" max="23" width="12.0"/>
    <col customWidth="1" min="24" max="25" width="10.0"/>
    <col customWidth="1" min="26" max="26" width="11.0"/>
    <col customWidth="1" min="27" max="27" width="18.0"/>
    <col customWidth="1" min="28" max="28" width="17.0"/>
    <col customWidth="1" min="29" max="29" width="14.0"/>
    <col customWidth="1" min="30" max="30" width="8.63"/>
    <col customWidth="1" min="31" max="31" width="14.0"/>
    <col customWidth="1" min="32" max="32" width="17.38"/>
    <col customWidth="1" min="33" max="33" width="16.75"/>
    <col customWidth="1" min="34" max="34" width="14.0"/>
    <col customWidth="1" min="35" max="35" width="8.63"/>
    <col customWidth="1" min="36" max="36" width="14.0"/>
    <col customWidth="1" min="37" max="37" width="17.38"/>
    <col customWidth="1" min="38" max="38" width="16.75"/>
    <col customWidth="1" min="39" max="39" width="14.0"/>
    <col customWidth="1" min="40" max="40" width="8.63"/>
    <col customWidth="1" min="41" max="41" width="14.0"/>
    <col customWidth="1" min="42" max="42" width="17.38"/>
    <col customWidth="1" min="43" max="43" width="17.13"/>
    <col customWidth="1" min="44" max="44" width="14.0"/>
  </cols>
  <sheetData>
    <row r="1" ht="42.75" customHeight="1">
      <c r="A1" s="3" t="s">
        <v>0</v>
      </c>
      <c r="B1" s="3" t="s">
        <v>10</v>
      </c>
      <c r="C1" s="3" t="s">
        <v>11</v>
      </c>
      <c r="D1" s="3" t="s">
        <v>12</v>
      </c>
      <c r="E1" s="4"/>
      <c r="F1" s="3" t="s">
        <v>0</v>
      </c>
      <c r="G1" s="3" t="s">
        <v>13</v>
      </c>
      <c r="H1" s="3" t="s">
        <v>14</v>
      </c>
      <c r="I1" s="3" t="s">
        <v>12</v>
      </c>
      <c r="J1" s="4"/>
      <c r="K1" s="5" t="s">
        <v>0</v>
      </c>
      <c r="L1" s="5" t="s">
        <v>15</v>
      </c>
      <c r="M1" s="5" t="s">
        <v>16</v>
      </c>
      <c r="N1" s="5" t="s">
        <v>12</v>
      </c>
      <c r="O1" s="4"/>
      <c r="P1" s="5" t="s">
        <v>0</v>
      </c>
      <c r="Q1" s="5" t="s">
        <v>17</v>
      </c>
      <c r="R1" s="5" t="s">
        <v>18</v>
      </c>
      <c r="S1" s="5" t="s">
        <v>12</v>
      </c>
      <c r="T1" s="4"/>
      <c r="U1" s="5" t="s">
        <v>0</v>
      </c>
      <c r="V1" s="5" t="s">
        <v>19</v>
      </c>
      <c r="W1" s="5" t="s">
        <v>20</v>
      </c>
      <c r="X1" s="5" t="s">
        <v>12</v>
      </c>
      <c r="Y1" s="4"/>
      <c r="Z1" s="5" t="s">
        <v>0</v>
      </c>
      <c r="AA1" s="5" t="s">
        <v>22</v>
      </c>
      <c r="AB1" s="5" t="s">
        <v>23</v>
      </c>
      <c r="AC1" s="5" t="s">
        <v>12</v>
      </c>
      <c r="AD1" s="4"/>
      <c r="AE1" s="5" t="s">
        <v>0</v>
      </c>
      <c r="AF1" s="5" t="s">
        <v>24</v>
      </c>
      <c r="AG1" s="5" t="s">
        <v>25</v>
      </c>
      <c r="AH1" s="5" t="s">
        <v>12</v>
      </c>
      <c r="AI1" s="4"/>
      <c r="AJ1" s="5" t="s">
        <v>0</v>
      </c>
      <c r="AK1" s="5" t="s">
        <v>26</v>
      </c>
      <c r="AL1" s="5" t="s">
        <v>27</v>
      </c>
      <c r="AM1" s="5" t="s">
        <v>12</v>
      </c>
      <c r="AN1" s="4"/>
      <c r="AO1" s="5" t="s">
        <v>0</v>
      </c>
      <c r="AP1" s="5" t="s">
        <v>28</v>
      </c>
      <c r="AQ1" s="5" t="s">
        <v>29</v>
      </c>
      <c r="AR1" s="5" t="s">
        <v>12</v>
      </c>
    </row>
    <row r="2" ht="22.5" customHeight="1">
      <c r="A2" s="10">
        <f>'Uji B (Uji Penuh)'!A2</f>
        <v>2019</v>
      </c>
      <c r="B2" s="12">
        <f>'Uji B (Uji Penuh)'!B2</f>
        <v>20520100</v>
      </c>
      <c r="C2" s="12">
        <f>'Uji B (Uji Penuh)'!C2</f>
        <v>20520104</v>
      </c>
      <c r="D2" s="15">
        <f t="shared" ref="D2:D6" si="1">B2-C2</f>
        <v>-4</v>
      </c>
      <c r="E2" s="9"/>
      <c r="F2" s="10">
        <f>'Uji B (Uji Penuh)'!A2</f>
        <v>2019</v>
      </c>
      <c r="G2" s="12">
        <f>'Uji B (Uji Penuh)'!G2</f>
        <v>1817</v>
      </c>
      <c r="H2" s="12">
        <f>'Uji B (Uji Penuh)'!H2</f>
        <v>1817</v>
      </c>
      <c r="I2" s="15">
        <f t="shared" ref="I2:I6" si="2">G2-H2</f>
        <v>0</v>
      </c>
      <c r="J2" s="9"/>
      <c r="K2" s="4">
        <f>'Uji B (Uji Penuh)'!A2</f>
        <v>2019</v>
      </c>
      <c r="L2" s="20">
        <f>'Uji B (Uji Penuh)'!L2</f>
        <v>189</v>
      </c>
      <c r="M2" s="20">
        <f>'Uji B (Uji Penuh)'!M2</f>
        <v>189</v>
      </c>
      <c r="N2" s="21">
        <f t="shared" ref="N2:N6" si="3">L2-M2</f>
        <v>0</v>
      </c>
      <c r="O2" s="9"/>
      <c r="P2" s="4">
        <f>'Uji B (Uji Penuh)'!A2</f>
        <v>2019</v>
      </c>
      <c r="Q2" s="20">
        <f>'Uji B (Uji Penuh)'!Q2</f>
        <v>334784</v>
      </c>
      <c r="R2" s="20">
        <f>'Uji B (Uji Penuh)'!R2</f>
        <v>334784</v>
      </c>
      <c r="S2" s="21">
        <f t="shared" ref="S2:S6" si="4">Q2-R2</f>
        <v>0</v>
      </c>
      <c r="T2" s="9"/>
      <c r="U2" s="4">
        <f>'Uji B (Uji Penuh)'!A2</f>
        <v>2019</v>
      </c>
      <c r="V2" s="20">
        <f>'Uji B (Uji Penuh)'!V2</f>
        <v>63480</v>
      </c>
      <c r="W2" s="20">
        <f>'Uji B (Uji Penuh)'!W2</f>
        <v>63480.04422</v>
      </c>
      <c r="X2" s="21">
        <f t="shared" ref="X2:X6" si="5">V2-W2</f>
        <v>-0.0442236269</v>
      </c>
      <c r="Y2" s="9"/>
      <c r="Z2" s="4">
        <f>'Uji B (Uji Penuh)'!A2</f>
        <v>2019</v>
      </c>
      <c r="AA2" s="24">
        <f>'Uji B (Uji Penuh)'!AA2</f>
        <v>0.22737</v>
      </c>
      <c r="AB2" s="24">
        <f>'Uji B (Uji Penuh)'!AB2</f>
        <v>0.4534</v>
      </c>
      <c r="AC2" s="25">
        <f t="shared" ref="AC2:AC6" si="6">AA2-AB2</f>
        <v>-0.22603</v>
      </c>
      <c r="AD2" s="9"/>
      <c r="AE2" s="4">
        <f>'Uji B (Uji Penuh)'!A2</f>
        <v>2019</v>
      </c>
      <c r="AF2" s="24">
        <f>'Uji B (Uji Penuh)'!AF2</f>
        <v>8545.55</v>
      </c>
      <c r="AG2" s="24">
        <f>'Uji B (Uji Penuh)'!AG2</f>
        <v>13104.38</v>
      </c>
      <c r="AH2" s="25">
        <f t="shared" ref="AH2:AH6" si="7">AF2-AG2</f>
        <v>-4558.83</v>
      </c>
      <c r="AI2" s="9"/>
      <c r="AJ2" s="4">
        <f>'Uji B (Uji Penuh)'!A2</f>
        <v>2019</v>
      </c>
      <c r="AK2" s="26">
        <f>'Uji B (Uji Penuh)'!AK2</f>
        <v>417.172</v>
      </c>
      <c r="AL2" s="26">
        <f>'Uji B (Uji Penuh)'!AL2</f>
        <v>741.4483</v>
      </c>
      <c r="AM2" s="27">
        <f t="shared" ref="AM2:AM6" si="8">AK2-AL2</f>
        <v>-324.2763</v>
      </c>
      <c r="AN2" s="9"/>
      <c r="AO2" s="4">
        <f>'Uji B (Uji Penuh)'!A2</f>
        <v>2019</v>
      </c>
      <c r="AP2" s="24">
        <f>'Uji B (Uji Penuh)'!AP2</f>
        <v>6026270</v>
      </c>
      <c r="AQ2" s="24">
        <f>'Uji B (Uji Penuh)'!AQ2</f>
        <v>13363923</v>
      </c>
      <c r="AR2" s="25">
        <f t="shared" ref="AR2:AR6" si="9">AP2-AQ2</f>
        <v>-7337653</v>
      </c>
    </row>
    <row r="3" ht="22.5" customHeight="1">
      <c r="A3" s="10">
        <f>'Uji B (Uji Penuh)'!A5</f>
        <v>2022</v>
      </c>
      <c r="B3" s="12">
        <f>'Uji B (Uji Penuh)'!B5</f>
        <v>24615300</v>
      </c>
      <c r="C3" s="12">
        <f>'Uji B (Uji Penuh)'!C5</f>
        <v>25755726</v>
      </c>
      <c r="D3" s="15">
        <f t="shared" si="1"/>
        <v>-1140426</v>
      </c>
      <c r="E3" s="9"/>
      <c r="F3" s="10">
        <f>'Uji B (Uji Penuh)'!A5</f>
        <v>2022</v>
      </c>
      <c r="G3" s="12">
        <f>'Uji B (Uji Penuh)'!G5</f>
        <v>1568.27</v>
      </c>
      <c r="H3" s="12">
        <f>'Uji B (Uji Penuh)'!H5</f>
        <v>1818</v>
      </c>
      <c r="I3" s="15">
        <f t="shared" si="2"/>
        <v>-249.73</v>
      </c>
      <c r="J3" s="9"/>
      <c r="K3" s="4">
        <f>'Uji B (Uji Penuh)'!A5</f>
        <v>2022</v>
      </c>
      <c r="L3" s="20">
        <f>'Uji B (Uji Penuh)'!L5</f>
        <v>190.91</v>
      </c>
      <c r="M3" s="20">
        <f>'Uji B (Uji Penuh)'!M5</f>
        <v>183</v>
      </c>
      <c r="N3" s="21">
        <f t="shared" si="3"/>
        <v>7.91</v>
      </c>
      <c r="O3" s="9"/>
      <c r="P3" s="4">
        <f>'Uji B (Uji Penuh)'!A5</f>
        <v>2022</v>
      </c>
      <c r="Q3" s="20">
        <f>'Uji B (Uji Penuh)'!Q5</f>
        <v>305548</v>
      </c>
      <c r="R3" s="20">
        <f>'Uji B (Uji Penuh)'!R5</f>
        <v>395284</v>
      </c>
      <c r="S3" s="21">
        <f t="shared" si="4"/>
        <v>-89736</v>
      </c>
      <c r="T3" s="9"/>
      <c r="U3" s="4">
        <f>'Uji B (Uji Penuh)'!A5</f>
        <v>2022</v>
      </c>
      <c r="V3" s="20">
        <f>'Uji B (Uji Penuh)'!V5</f>
        <v>70309</v>
      </c>
      <c r="W3" s="20">
        <f>'Uji B (Uji Penuh)'!W5</f>
        <v>57709.07581</v>
      </c>
      <c r="X3" s="21">
        <f t="shared" si="5"/>
        <v>12599.92419</v>
      </c>
      <c r="Y3" s="9"/>
      <c r="Z3" s="4">
        <f>'Uji B (Uji Penuh)'!A5</f>
        <v>2022</v>
      </c>
      <c r="AA3" s="24">
        <f>'Uji B (Uji Penuh)'!AA5</f>
        <v>0.316005</v>
      </c>
      <c r="AB3" s="24">
        <f>'Uji B (Uji Penuh)'!AB5</f>
        <v>0.4499</v>
      </c>
      <c r="AC3" s="25">
        <f t="shared" si="6"/>
        <v>-0.133895</v>
      </c>
      <c r="AD3" s="9"/>
      <c r="AE3" s="4">
        <f>'Uji B (Uji Penuh)'!A5</f>
        <v>2022</v>
      </c>
      <c r="AF3" s="24">
        <f>'Uji B (Uji Penuh)'!AF5</f>
        <v>10251</v>
      </c>
      <c r="AG3" s="24">
        <f>'Uji B (Uji Penuh)'!AG5</f>
        <v>13672.58</v>
      </c>
      <c r="AH3" s="25">
        <f t="shared" si="7"/>
        <v>-3421.58</v>
      </c>
      <c r="AI3" s="9"/>
      <c r="AJ3" s="4">
        <f>'Uji B (Uji Penuh)'!A5</f>
        <v>2022</v>
      </c>
      <c r="AK3" s="26">
        <f>'Uji B (Uji Penuh)'!AK5</f>
        <v>500.427</v>
      </c>
      <c r="AL3" s="26">
        <f>'Uji B (Uji Penuh)'!AL5</f>
        <v>463.5886</v>
      </c>
      <c r="AM3" s="27">
        <f t="shared" si="8"/>
        <v>36.8384</v>
      </c>
      <c r="AN3" s="9"/>
      <c r="AO3" s="4">
        <f>'Uji B (Uji Penuh)'!A5</f>
        <v>2022</v>
      </c>
      <c r="AP3" s="24">
        <f>'Uji B (Uji Penuh)'!AP5</f>
        <v>7228940</v>
      </c>
      <c r="AQ3" s="24">
        <f>'Uji B (Uji Penuh)'!AQ5</f>
        <v>9267217</v>
      </c>
      <c r="AR3" s="25">
        <f t="shared" si="9"/>
        <v>-2038277</v>
      </c>
    </row>
    <row r="4" ht="22.5" customHeight="1">
      <c r="A4" s="10">
        <f>'Uji B (Uji Penuh)'!A6</f>
        <v>2023</v>
      </c>
      <c r="B4" s="12">
        <f>'Uji B (Uji Penuh)'!B6</f>
        <v>26131500</v>
      </c>
      <c r="C4" s="12">
        <f>'Uji B (Uji Penuh)'!C6</f>
        <v>30542580</v>
      </c>
      <c r="D4" s="15">
        <f t="shared" si="1"/>
        <v>-4411080</v>
      </c>
      <c r="E4" s="9"/>
      <c r="F4" s="10">
        <f>'Uji B (Uji Penuh)'!A6</f>
        <v>2023</v>
      </c>
      <c r="G4" s="12">
        <f>'Uji B (Uji Penuh)'!G6</f>
        <v>1537.34</v>
      </c>
      <c r="H4" s="12">
        <f>'Uji B (Uji Penuh)'!H6</f>
        <v>1820</v>
      </c>
      <c r="I4" s="15">
        <f t="shared" si="2"/>
        <v>-282.66</v>
      </c>
      <c r="J4" s="9"/>
      <c r="K4" s="4">
        <f>'Uji B (Uji Penuh)'!A6</f>
        <v>2023</v>
      </c>
      <c r="L4" s="20">
        <f>'Uji B (Uji Penuh)'!L6</f>
        <v>192.069</v>
      </c>
      <c r="M4" s="20">
        <f>'Uji B (Uji Penuh)'!M6</f>
        <v>201</v>
      </c>
      <c r="N4" s="21">
        <f t="shared" si="3"/>
        <v>-8.931</v>
      </c>
      <c r="O4" s="9"/>
      <c r="P4" s="4">
        <f>'Uji B (Uji Penuh)'!A6</f>
        <v>2023</v>
      </c>
      <c r="Q4" s="20">
        <f>'Uji B (Uji Penuh)'!Q6</f>
        <v>296382</v>
      </c>
      <c r="R4" s="20">
        <f>'Uji B (Uji Penuh)'!R6</f>
        <v>359340</v>
      </c>
      <c r="S4" s="21">
        <f t="shared" si="4"/>
        <v>-62958</v>
      </c>
      <c r="T4" s="9"/>
      <c r="U4" s="4">
        <f>'Uji B (Uji Penuh)'!A6</f>
        <v>2023</v>
      </c>
      <c r="V4" s="20">
        <f>'Uji B (Uji Penuh)'!V6</f>
        <v>72704.5</v>
      </c>
      <c r="W4" s="20">
        <f>'Uji B (Uji Penuh)'!W6</f>
        <v>75624.40353</v>
      </c>
      <c r="X4" s="21">
        <f t="shared" si="5"/>
        <v>-2919.903529</v>
      </c>
      <c r="Y4" s="9"/>
      <c r="Z4" s="4">
        <f>'Uji B (Uji Penuh)'!A6</f>
        <v>2023</v>
      </c>
      <c r="AA4" s="24">
        <f>'Uji B (Uji Penuh)'!AA6</f>
        <v>0.342219</v>
      </c>
      <c r="AB4" s="24">
        <f>'Uji B (Uji Penuh)'!AB6</f>
        <v>0.4477</v>
      </c>
      <c r="AC4" s="25">
        <f t="shared" si="6"/>
        <v>-0.105481</v>
      </c>
      <c r="AD4" s="9"/>
      <c r="AE4" s="4">
        <f>'Uji B (Uji Penuh)'!A6</f>
        <v>2023</v>
      </c>
      <c r="AF4" s="24">
        <f>'Uji B (Uji Penuh)'!AF6</f>
        <v>10882.4</v>
      </c>
      <c r="AG4" s="24">
        <f>'Uji B (Uji Penuh)'!AG6</f>
        <v>14809.2</v>
      </c>
      <c r="AH4" s="25">
        <f t="shared" si="7"/>
        <v>-3926.8</v>
      </c>
      <c r="AI4" s="9"/>
      <c r="AJ4" s="4">
        <f>'Uji B (Uji Penuh)'!A6</f>
        <v>2023</v>
      </c>
      <c r="AK4" s="26">
        <f>'Uji B (Uji Penuh)'!AK6</f>
        <v>531.251</v>
      </c>
      <c r="AL4" s="26">
        <f>'Uji B (Uji Penuh)'!AL6</f>
        <v>1175.2552</v>
      </c>
      <c r="AM4" s="27">
        <f t="shared" si="8"/>
        <v>-644.0042</v>
      </c>
      <c r="AN4" s="9"/>
      <c r="AO4" s="4">
        <f>'Uji B (Uji Penuh)'!A6</f>
        <v>2023</v>
      </c>
      <c r="AP4" s="24">
        <f>'Uji B (Uji Penuh)'!AP6</f>
        <v>7674210</v>
      </c>
      <c r="AQ4" s="24">
        <f>'Uji B (Uji Penuh)'!AQ6</f>
        <v>11417702</v>
      </c>
      <c r="AR4" s="25">
        <f t="shared" si="9"/>
        <v>-3743492</v>
      </c>
    </row>
    <row r="5" ht="22.5" customHeight="1">
      <c r="A5" s="10">
        <f>'Uji B (Uji Penuh)'!A7</f>
        <v>2024</v>
      </c>
      <c r="B5" s="12">
        <f>'Uji B (Uji Penuh)'!B7</f>
        <v>27730100</v>
      </c>
      <c r="C5" s="12">
        <f>'Uji B (Uji Penuh)'!C7</f>
        <v>38134536</v>
      </c>
      <c r="D5" s="15">
        <f t="shared" si="1"/>
        <v>-10404436</v>
      </c>
      <c r="E5" s="9"/>
      <c r="F5" s="10">
        <f>'Uji B (Uji Penuh)'!A7</f>
        <v>2024</v>
      </c>
      <c r="G5" s="12">
        <f>'Uji B (Uji Penuh)'!G7</f>
        <v>1543.1</v>
      </c>
      <c r="H5" s="12">
        <f>'Uji B (Uji Penuh)'!H7</f>
        <v>2000</v>
      </c>
      <c r="I5" s="15">
        <f t="shared" si="2"/>
        <v>-456.9</v>
      </c>
      <c r="J5" s="9"/>
      <c r="K5" s="4">
        <f>'Uji B (Uji Penuh)'!A7</f>
        <v>2024</v>
      </c>
      <c r="L5" s="20">
        <f>'Uji B (Uji Penuh)'!L7</f>
        <v>193.494</v>
      </c>
      <c r="M5" s="20">
        <f>'Uji B (Uji Penuh)'!M7</f>
        <v>218</v>
      </c>
      <c r="N5" s="21">
        <f t="shared" si="3"/>
        <v>-24.506</v>
      </c>
      <c r="O5" s="9"/>
      <c r="P5" s="4">
        <f>'Uji B (Uji Penuh)'!A7</f>
        <v>2024</v>
      </c>
      <c r="Q5" s="20">
        <f>'Uji B (Uji Penuh)'!Q7</f>
        <v>287490</v>
      </c>
      <c r="R5" s="20">
        <f>'Uji B (Uji Penuh)'!R7</f>
        <v>350946</v>
      </c>
      <c r="S5" s="21">
        <f t="shared" si="4"/>
        <v>-63456</v>
      </c>
      <c r="T5" s="9"/>
      <c r="U5" s="4">
        <f>'Uji B (Uji Penuh)'!A7</f>
        <v>2024</v>
      </c>
      <c r="V5" s="20">
        <f>'Uji B (Uji Penuh)'!V7</f>
        <v>75160.6</v>
      </c>
      <c r="W5" s="20">
        <f>'Uji B (Uji Penuh)'!W7</f>
        <v>73511.57465</v>
      </c>
      <c r="X5" s="21">
        <f t="shared" si="5"/>
        <v>1649.025349</v>
      </c>
      <c r="Y5" s="9"/>
      <c r="Z5" s="4">
        <f>'Uji B (Uji Penuh)'!A7</f>
        <v>2024</v>
      </c>
      <c r="AA5" s="24">
        <f>'Uji B (Uji Penuh)'!AA7</f>
        <v>0.361798</v>
      </c>
      <c r="AB5" s="24">
        <f>'Uji B (Uji Penuh)'!AB7</f>
        <v>0.4217</v>
      </c>
      <c r="AC5" s="25">
        <f t="shared" si="6"/>
        <v>-0.059902</v>
      </c>
      <c r="AD5" s="9"/>
      <c r="AE5" s="4">
        <f>'Uji B (Uji Penuh)'!A7</f>
        <v>2024</v>
      </c>
      <c r="AF5" s="24">
        <f>'Uji B (Uji Penuh)'!AF7</f>
        <v>11548.1</v>
      </c>
      <c r="AG5" s="24">
        <f>'Uji B (Uji Penuh)'!AG7</f>
        <v>15873.81</v>
      </c>
      <c r="AH5" s="25">
        <f t="shared" si="7"/>
        <v>-4325.71</v>
      </c>
      <c r="AI5" s="9"/>
      <c r="AJ5" s="4">
        <f>'Uji B (Uji Penuh)'!A7</f>
        <v>2024</v>
      </c>
      <c r="AK5" s="26">
        <f>'Uji B (Uji Penuh)'!AK7</f>
        <v>563.75</v>
      </c>
      <c r="AL5" s="26">
        <f>'Uji B (Uji Penuh)'!AL7</f>
        <v>712.2835</v>
      </c>
      <c r="AM5" s="27">
        <f t="shared" si="8"/>
        <v>-148.5335</v>
      </c>
      <c r="AN5" s="9"/>
      <c r="AO5" s="4">
        <f>'Uji B (Uji Penuh)'!A7</f>
        <v>2024</v>
      </c>
      <c r="AP5" s="24">
        <f>'Uji B (Uji Penuh)'!AP7</f>
        <v>8143680</v>
      </c>
      <c r="AQ5" s="24">
        <f>'Uji B (Uji Penuh)'!AQ7</f>
        <v>11503540</v>
      </c>
      <c r="AR5" s="25">
        <f t="shared" si="9"/>
        <v>-3359860</v>
      </c>
    </row>
    <row r="6" ht="22.5" customHeight="1">
      <c r="A6" s="10">
        <f>'Uji B (Uji Penuh)'!A8</f>
        <v>2025</v>
      </c>
      <c r="B6" s="12">
        <f>'Uji B (Uji Penuh)'!B8</f>
        <v>29415500</v>
      </c>
      <c r="C6" s="12">
        <f>'Uji B (Uji Penuh)'!C8</f>
        <v>40695654</v>
      </c>
      <c r="D6" s="15">
        <f t="shared" si="1"/>
        <v>-11280154</v>
      </c>
      <c r="E6" s="9"/>
      <c r="F6" s="10">
        <f>'Uji B (Uji Penuh)'!A8</f>
        <v>2025</v>
      </c>
      <c r="G6" s="12">
        <f>'Uji B (Uji Penuh)'!G8</f>
        <v>1579.17</v>
      </c>
      <c r="H6" s="12">
        <f>'Uji B (Uji Penuh)'!H8</f>
        <v>2291</v>
      </c>
      <c r="I6" s="15">
        <f t="shared" si="2"/>
        <v>-711.83</v>
      </c>
      <c r="J6" s="9"/>
      <c r="K6" s="4">
        <f>'Uji B (Uji Penuh)'!A8</f>
        <v>2025</v>
      </c>
      <c r="L6" s="20">
        <f>'Uji B (Uji Penuh)'!L8</f>
        <v>195.19</v>
      </c>
      <c r="M6" s="20">
        <f>'Uji B (Uji Penuh)'!M8</f>
        <v>201</v>
      </c>
      <c r="N6" s="21">
        <f t="shared" si="3"/>
        <v>-5.81</v>
      </c>
      <c r="O6" s="9"/>
      <c r="P6" s="4">
        <f>'Uji B (Uji Penuh)'!A8</f>
        <v>2025</v>
      </c>
      <c r="Q6" s="20">
        <f>'Uji B (Uji Penuh)'!Q8</f>
        <v>278866</v>
      </c>
      <c r="R6" s="20">
        <f>'Uji B (Uji Penuh)'!R8</f>
        <v>364994</v>
      </c>
      <c r="S6" s="21">
        <f t="shared" si="4"/>
        <v>-86128</v>
      </c>
      <c r="T6" s="9"/>
      <c r="U6" s="4">
        <f>'Uji B (Uji Penuh)'!A8</f>
        <v>2025</v>
      </c>
      <c r="V6" s="20">
        <f>'Uji B (Uji Penuh)'!V8</f>
        <v>77676.7</v>
      </c>
      <c r="W6" s="20">
        <f>'Uji B (Uji Penuh)'!W8</f>
        <v>55029.5353</v>
      </c>
      <c r="X6" s="21">
        <f t="shared" si="5"/>
        <v>22647.1647</v>
      </c>
      <c r="Y6" s="9"/>
      <c r="Z6" s="4">
        <f>'Uji B (Uji Penuh)'!A8</f>
        <v>2025</v>
      </c>
      <c r="AA6" s="24">
        <f>'Uji B (Uji Penuh)'!AA8</f>
        <v>0.375023</v>
      </c>
      <c r="AB6" s="24">
        <f>'Uji B (Uji Penuh)'!AB8</f>
        <v>0.3807</v>
      </c>
      <c r="AC6" s="25">
        <f t="shared" si="6"/>
        <v>-0.005677</v>
      </c>
      <c r="AD6" s="9"/>
      <c r="AE6" s="4">
        <f>'Uji B (Uji Penuh)'!A8</f>
        <v>2025</v>
      </c>
      <c r="AF6" s="24">
        <f>'Uji B (Uji Penuh)'!AF8</f>
        <v>12250</v>
      </c>
      <c r="AG6" s="24">
        <f>'Uji B (Uji Penuh)'!AG8</f>
        <v>16947.62</v>
      </c>
      <c r="AH6" s="25">
        <f t="shared" si="7"/>
        <v>-4697.62</v>
      </c>
      <c r="AI6" s="9"/>
      <c r="AJ6" s="4">
        <f>'Uji B (Uji Penuh)'!A8</f>
        <v>2025</v>
      </c>
      <c r="AK6" s="26">
        <f>'Uji B (Uji Penuh)'!AK8</f>
        <v>598.014</v>
      </c>
      <c r="AL6" s="26">
        <f>'Uji B (Uji Penuh)'!AL8</f>
        <v>1325.950399</v>
      </c>
      <c r="AM6" s="27">
        <f t="shared" si="8"/>
        <v>-727.936399</v>
      </c>
      <c r="AN6" s="9"/>
      <c r="AO6" s="4">
        <f>'Uji B (Uji Penuh)'!A8</f>
        <v>2025</v>
      </c>
      <c r="AP6" s="24">
        <f>'Uji B (Uji Penuh)'!AP8</f>
        <v>8638650</v>
      </c>
      <c r="AQ6" s="24">
        <f>'Uji B (Uji Penuh)'!AQ8</f>
        <v>11954114</v>
      </c>
      <c r="AR6" s="25">
        <f t="shared" si="9"/>
        <v>-3315464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 ht="15.75" customHeight="1">
      <c r="A8" s="33" t="s">
        <v>40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ht="22.5" customHeight="1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49</v>
      </c>
      <c r="J10" s="3" t="s">
        <v>50</v>
      </c>
      <c r="K10" s="3" t="s">
        <v>51</v>
      </c>
      <c r="L10" s="3" t="s">
        <v>52</v>
      </c>
      <c r="M10" s="3" t="s">
        <v>53</v>
      </c>
      <c r="N10" s="3" t="s">
        <v>54</v>
      </c>
      <c r="O10" s="3" t="s">
        <v>55</v>
      </c>
      <c r="P10" s="3" t="s">
        <v>56</v>
      </c>
      <c r="Q10" s="3" t="s">
        <v>57</v>
      </c>
      <c r="R10" s="3" t="s">
        <v>58</v>
      </c>
      <c r="S10" s="3" t="s">
        <v>59</v>
      </c>
      <c r="T10" s="40" t="s">
        <v>60</v>
      </c>
      <c r="U10" s="40" t="s">
        <v>61</v>
      </c>
      <c r="V10" s="40" t="s">
        <v>62</v>
      </c>
      <c r="W10" s="40" t="s">
        <v>63</v>
      </c>
      <c r="X10" s="40" t="s">
        <v>64</v>
      </c>
      <c r="Y10" s="40" t="s">
        <v>65</v>
      </c>
      <c r="Z10" s="40" t="s">
        <v>66</v>
      </c>
      <c r="AA10" s="40" t="s">
        <v>67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ht="22.5" customHeight="1">
      <c r="A11" s="39" t="s">
        <v>1</v>
      </c>
      <c r="B11" s="42">
        <f>AVERAGE(C2:C6)</f>
        <v>31129720</v>
      </c>
      <c r="C11" s="42">
        <f>AVERAGE(B2:B6)</f>
        <v>25682500</v>
      </c>
      <c r="D11" s="42">
        <f>_xlfn.STDEV.P(C2:C6)</f>
        <v>7514825.84</v>
      </c>
      <c r="E11" s="42">
        <f>_xlfn.STDEV.P(B2:B6)</f>
        <v>3037065.866</v>
      </c>
      <c r="F11" s="42">
        <f>CORREL(C2:C6,B2:B6)</f>
        <v>0.9665265157</v>
      </c>
      <c r="G11" s="42">
        <f t="shared" ref="G11:G19" si="10">ABS(C11-B11)/ABS(B11)</f>
        <v>0.1749845485</v>
      </c>
      <c r="H11" s="42">
        <f t="shared" ref="H11:H19" si="11">ABS(E11-D11)/D11</f>
        <v>0.5958567863</v>
      </c>
      <c r="I11" s="42">
        <f>_xlfn.STDEV.P(D2:D6)/(D11+E11)</f>
        <v>0.4402282928</v>
      </c>
      <c r="J11" s="42">
        <f t="shared" ref="J11:J19" si="12">(C11-B11)^2</f>
        <v>29672205728400</v>
      </c>
      <c r="K11" s="42">
        <f t="shared" ref="K11:K19" si="13">(E11-D11)^2</f>
        <v>20050334390431</v>
      </c>
      <c r="L11" s="42">
        <f t="shared" ref="L11:L19" si="14">2*(1-F11)*E11*D11</f>
        <v>1527932075110</v>
      </c>
      <c r="M11" s="42">
        <f t="shared" ref="M11:M19" si="15">J11/(J11+K11+L11)</f>
        <v>0.5789645336</v>
      </c>
      <c r="N11" s="42">
        <f t="shared" ref="N11:N19" si="16">K11/(J11+K11+L11)</f>
        <v>0.3912224323</v>
      </c>
      <c r="O11" s="42">
        <f t="shared" ref="O11:O19" si="17">L11/(J11+K11+L11)</f>
        <v>0.0298130341</v>
      </c>
      <c r="P11" s="42">
        <f>SUMPRODUCT(ABS(D2:D6/C2:C6))/COUNT(C2:C6)</f>
        <v>0.1477441882</v>
      </c>
      <c r="Q11" s="44" t="str">
        <f t="shared" ref="Q11:Q19" si="18">IF(G11&lt;=0.05,"Lolos","Tidak")</f>
        <v>Tidak</v>
      </c>
      <c r="R11" s="44" t="str">
        <f t="shared" ref="R11:R19" si="19">IF(H11&lt;=0.3,"Lolos","Tidak")</f>
        <v>Tidak</v>
      </c>
      <c r="S11" s="44" t="str">
        <f t="shared" ref="S11:S19" si="20">IF(I11&lt;0.4,"Baik",IF(I11&lt;=0.7,"Cukup","Kurang"))</f>
        <v>Cukup</v>
      </c>
      <c r="T11" s="45">
        <f>SLOPE(C2:C6,A2:A6)</f>
        <v>3488167.075</v>
      </c>
      <c r="U11" s="45">
        <f>SLOPE(B2:B6,A2:A6)</f>
        <v>1473132.075</v>
      </c>
      <c r="V11" s="45">
        <f>STEYX(C2:C6,A2:A6)^2/DEVSQ(A2:A6)</f>
        <v>383900544993</v>
      </c>
      <c r="W11" s="45">
        <f>STEYX(B2:B6,A2:A6)^2/DEVSQ(A2:A6)</f>
        <v>1766374060</v>
      </c>
      <c r="X11" s="45">
        <f t="shared" ref="X11:X19" si="21">ABS(U11-T11)/SQRT(V11+W11)</f>
        <v>3.244713829</v>
      </c>
      <c r="Y11" s="45">
        <f>_xlfn.T.INV.2T(0.05,2*COUNT(A2:A6)-4)</f>
        <v>2.446911851</v>
      </c>
      <c r="Z11" s="46" t="str">
        <f t="shared" ref="Z11:Z19" si="22">IF(SIGN(T11)=SIGN(U11),"Sama","Berlawanan")</f>
        <v>Sama</v>
      </c>
      <c r="AA11" s="46" t="str">
        <f t="shared" ref="AA11:AA19" si="23">IF(Z11="Berlawanan","Berlawanan arah",IF(X11&lt;=Y11,"Tidak berbeda nyata","Berbeda nyata"))</f>
        <v>Berbeda nyata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ht="22.5" customHeight="1">
      <c r="A12" s="39" t="s">
        <v>2</v>
      </c>
      <c r="B12" s="42">
        <f>AVERAGE(H2:H6)</f>
        <v>1949.2</v>
      </c>
      <c r="C12" s="42">
        <f>AVERAGE(G2:G6)</f>
        <v>1608.976</v>
      </c>
      <c r="D12" s="42">
        <f>_xlfn.STDEV.P(H2:H6)</f>
        <v>184.8192631</v>
      </c>
      <c r="E12" s="42">
        <f>_xlfn.STDEV.P(G2:G6)</f>
        <v>105.1577144</v>
      </c>
      <c r="F12" s="42">
        <f>CORREL(H2:H6,G2:G6)</f>
        <v>-0.2720734035</v>
      </c>
      <c r="G12" s="42">
        <f t="shared" si="10"/>
        <v>0.1745454545</v>
      </c>
      <c r="H12" s="42">
        <f t="shared" si="11"/>
        <v>0.4310240573</v>
      </c>
      <c r="I12" s="42">
        <f>_xlfn.STDEV.P(I2:I6)/(D12+E12)</f>
        <v>0.8145580184</v>
      </c>
      <c r="J12" s="42">
        <f t="shared" si="12"/>
        <v>115752.3702</v>
      </c>
      <c r="K12" s="42">
        <f t="shared" si="13"/>
        <v>6345.962331</v>
      </c>
      <c r="L12" s="42">
        <f t="shared" si="14"/>
        <v>49445.92897</v>
      </c>
      <c r="M12" s="42">
        <f t="shared" si="15"/>
        <v>0.6747667872</v>
      </c>
      <c r="N12" s="42">
        <f t="shared" si="16"/>
        <v>0.03699314845</v>
      </c>
      <c r="O12" s="42">
        <f t="shared" si="17"/>
        <v>0.2882400644</v>
      </c>
      <c r="P12" s="42">
        <f>SUMPRODUCT(ABS(I2:I6/H2:H6))/COUNT(H2:H6)</f>
        <v>0.1663660087</v>
      </c>
      <c r="Q12" s="44" t="str">
        <f t="shared" si="18"/>
        <v>Tidak</v>
      </c>
      <c r="R12" s="44" t="str">
        <f t="shared" si="19"/>
        <v>Tidak</v>
      </c>
      <c r="S12" s="44" t="str">
        <f t="shared" si="20"/>
        <v>Kurang</v>
      </c>
      <c r="T12" s="45">
        <f>SLOPE(H2:H6,F2:F6)</f>
        <v>65.77358491</v>
      </c>
      <c r="U12" s="45">
        <f>SLOPE(G2:G6,F2:F6)</f>
        <v>-43.24896226</v>
      </c>
      <c r="V12" s="45">
        <f>STEYX(H2:H6,F2:F6)^2/DEVSQ(F2:F6)</f>
        <v>1243.335113</v>
      </c>
      <c r="W12" s="45">
        <f>STEYX(G2:G6,F2:F6)^2/DEVSQ(F2:F6)</f>
        <v>245.8601022</v>
      </c>
      <c r="X12" s="45">
        <f t="shared" si="21"/>
        <v>2.825143475</v>
      </c>
      <c r="Y12" s="45">
        <f>_xlfn.T.INV.2T(0.05,2*COUNT(F2:F6)-4)</f>
        <v>2.446911851</v>
      </c>
      <c r="Z12" s="46" t="str">
        <f t="shared" si="22"/>
        <v>Berlawanan</v>
      </c>
      <c r="AA12" s="46" t="str">
        <f t="shared" si="23"/>
        <v>Berlawanan arah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ht="22.5" customHeight="1">
      <c r="A13" s="39" t="s">
        <v>3</v>
      </c>
      <c r="B13" s="42">
        <f>AVERAGE(M2:M6)</f>
        <v>198.4</v>
      </c>
      <c r="C13" s="42">
        <f>AVERAGE(L2:L6)</f>
        <v>192.1326</v>
      </c>
      <c r="D13" s="42">
        <f>_xlfn.STDEV.P(M2:M6)</f>
        <v>12.0266371</v>
      </c>
      <c r="E13" s="42">
        <f>_xlfn.STDEV.P(L2:L6)</f>
        <v>2.121937002</v>
      </c>
      <c r="F13" s="42">
        <f>CORREL(M2:M6,L2:L6)</f>
        <v>0.6484526473</v>
      </c>
      <c r="G13" s="42">
        <f t="shared" si="10"/>
        <v>0.03158971774</v>
      </c>
      <c r="H13" s="42">
        <f t="shared" si="11"/>
        <v>0.8235635628</v>
      </c>
      <c r="I13" s="42">
        <f>_xlfn.STDEV.P(N2:N6)/(D13+E13)</f>
        <v>0.7613813252</v>
      </c>
      <c r="J13" s="42">
        <f t="shared" si="12"/>
        <v>39.28030276</v>
      </c>
      <c r="K13" s="42">
        <f t="shared" si="13"/>
        <v>98.10308409</v>
      </c>
      <c r="L13" s="42">
        <f t="shared" si="14"/>
        <v>17.94281255</v>
      </c>
      <c r="M13" s="42">
        <f t="shared" si="15"/>
        <v>0.2528890999</v>
      </c>
      <c r="N13" s="42">
        <f t="shared" si="16"/>
        <v>0.631593926</v>
      </c>
      <c r="O13" s="42">
        <f t="shared" si="17"/>
        <v>0.1155169741</v>
      </c>
      <c r="P13" s="42">
        <f>SUMPRODUCT(ABS(N2:N6/M2:M6))/COUNT(M2:M6)</f>
        <v>0.04579503924</v>
      </c>
      <c r="Q13" s="44" t="str">
        <f t="shared" si="18"/>
        <v>Lolos</v>
      </c>
      <c r="R13" s="44" t="str">
        <f t="shared" si="19"/>
        <v>Tidak</v>
      </c>
      <c r="S13" s="44" t="str">
        <f t="shared" si="20"/>
        <v>Kurang</v>
      </c>
      <c r="T13" s="45">
        <f>SLOPE(M2:M6,K2:K6)</f>
        <v>3.669811321</v>
      </c>
      <c r="U13" s="45">
        <f>SLOPE(L2:L6,K2:K6)</f>
        <v>1.001377358</v>
      </c>
      <c r="V13" s="45">
        <f>STEYX(M2:M6,K2:K6)^2/DEVSQ(K2:K6)</f>
        <v>6.881897472</v>
      </c>
      <c r="W13" s="45">
        <f>STEYX(L2:L6,K2:K6)^2/DEVSQ(K2:K6)</f>
        <v>0.0197270909</v>
      </c>
      <c r="X13" s="45">
        <f t="shared" si="21"/>
        <v>1.015735881</v>
      </c>
      <c r="Y13" s="45">
        <f>_xlfn.T.INV.2T(0.05,2*COUNT(K2:K6)-4)</f>
        <v>2.446911851</v>
      </c>
      <c r="Z13" s="46" t="str">
        <f t="shared" si="22"/>
        <v>Sama</v>
      </c>
      <c r="AA13" s="46" t="str">
        <f t="shared" si="23"/>
        <v>Tidak berbeda nyata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 ht="22.5" customHeight="1">
      <c r="A14" s="39" t="s">
        <v>4</v>
      </c>
      <c r="B14" s="42">
        <f>AVERAGE(R2:R6)</f>
        <v>361069.6</v>
      </c>
      <c r="C14" s="42">
        <f>AVERAGE(Q2:Q6)</f>
        <v>300614</v>
      </c>
      <c r="D14" s="42">
        <f>_xlfn.STDEV.P(R2:R6)</f>
        <v>19911.99459</v>
      </c>
      <c r="E14" s="42">
        <f>_xlfn.STDEV.P(Q2:Q6)</f>
        <v>19261.6612</v>
      </c>
      <c r="F14" s="42">
        <f>CORREL(R2:R6,Q2:Q6)</f>
        <v>-0.3517414157</v>
      </c>
      <c r="G14" s="42">
        <f t="shared" si="10"/>
        <v>0.167434755</v>
      </c>
      <c r="H14" s="42">
        <f t="shared" si="11"/>
        <v>0.03266038437</v>
      </c>
      <c r="I14" s="42">
        <f>_xlfn.STDEV.P(S2:S6)/(D14+E14)</f>
        <v>0.8221678897</v>
      </c>
      <c r="J14" s="42">
        <f t="shared" si="12"/>
        <v>3654879571</v>
      </c>
      <c r="K14" s="42">
        <f t="shared" si="13"/>
        <v>422933.5272</v>
      </c>
      <c r="L14" s="42">
        <f t="shared" si="14"/>
        <v>1036888651</v>
      </c>
      <c r="M14" s="42">
        <f t="shared" si="15"/>
        <v>0.7789281063</v>
      </c>
      <c r="N14" s="42">
        <f t="shared" si="16"/>
        <v>0.00009013561323</v>
      </c>
      <c r="O14" s="42">
        <f t="shared" si="17"/>
        <v>0.2209817581</v>
      </c>
      <c r="P14" s="42">
        <f>SUMPRODUCT(ABS(S2:S6/R2:R6))/COUNT(R2:R6)</f>
        <v>0.1638012422</v>
      </c>
      <c r="Q14" s="44" t="str">
        <f t="shared" si="18"/>
        <v>Tidak</v>
      </c>
      <c r="R14" s="44" t="str">
        <f t="shared" si="19"/>
        <v>Lolos</v>
      </c>
      <c r="S14" s="44" t="str">
        <f t="shared" si="20"/>
        <v>Kurang</v>
      </c>
      <c r="T14" s="45">
        <f>SLOPE(R2:R6,P2:P6)</f>
        <v>3238.358491</v>
      </c>
      <c r="U14" s="45">
        <f>SLOPE(Q2:Q6,P2:P6)</f>
        <v>-9350.660377</v>
      </c>
      <c r="V14" s="45">
        <f>STEYX(R2:R6,P2:P6)^2/DEVSQ(P2:P6)</f>
        <v>27674747.96</v>
      </c>
      <c r="W14" s="45">
        <f>STEYX(Q2:Q6,P2:P6)^2/DEVSQ(P2:P6)</f>
        <v>22628.15652</v>
      </c>
      <c r="X14" s="45">
        <f t="shared" si="21"/>
        <v>2.392062761</v>
      </c>
      <c r="Y14" s="45">
        <f>_xlfn.T.INV.2T(0.05,2*COUNT(P2:P6)-4)</f>
        <v>2.446911851</v>
      </c>
      <c r="Z14" s="46" t="str">
        <f t="shared" si="22"/>
        <v>Berlawanan</v>
      </c>
      <c r="AA14" s="46" t="str">
        <f t="shared" si="23"/>
        <v>Berlawanan arah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ht="22.5" customHeight="1">
      <c r="A15" s="39" t="s">
        <v>5</v>
      </c>
      <c r="B15" s="42">
        <f>AVERAGE(W2:W6)</f>
        <v>65070.9267</v>
      </c>
      <c r="C15" s="42">
        <f>AVERAGE(V2:V6)</f>
        <v>71866.16</v>
      </c>
      <c r="D15" s="42">
        <f>_xlfn.STDEV.P(W2:W6)</f>
        <v>8248.365995</v>
      </c>
      <c r="E15" s="42">
        <f>_xlfn.STDEV.P(V2:V6)</f>
        <v>4859.4434</v>
      </c>
      <c r="F15" s="42">
        <f>CORREL(W2:W6,V2:V6)</f>
        <v>0.01553636039</v>
      </c>
      <c r="G15" s="42">
        <f t="shared" si="10"/>
        <v>0.1044281009</v>
      </c>
      <c r="H15" s="42">
        <f t="shared" si="11"/>
        <v>0.4108598718</v>
      </c>
      <c r="I15" s="42">
        <f>_xlfn.STDEV.P(X2:X6)/(D15+E15)</f>
        <v>0.7253779191</v>
      </c>
      <c r="J15" s="42">
        <f t="shared" si="12"/>
        <v>46175195.58</v>
      </c>
      <c r="K15" s="42">
        <f t="shared" si="13"/>
        <v>11484796.36</v>
      </c>
      <c r="L15" s="42">
        <f t="shared" si="14"/>
        <v>78919464.06</v>
      </c>
      <c r="M15" s="42">
        <f t="shared" si="15"/>
        <v>0.3380830246</v>
      </c>
      <c r="N15" s="42">
        <f t="shared" si="16"/>
        <v>0.0840887546</v>
      </c>
      <c r="O15" s="42">
        <f t="shared" si="17"/>
        <v>0.5778282208</v>
      </c>
      <c r="P15" s="42">
        <f>SUMPRODUCT(ABS(X2:X6/W2:W6))/COUNT(W2:W6)</f>
        <v>0.1381848677</v>
      </c>
      <c r="Q15" s="44" t="str">
        <f t="shared" si="18"/>
        <v>Tidak</v>
      </c>
      <c r="R15" s="44" t="str">
        <f t="shared" si="19"/>
        <v>Tidak</v>
      </c>
      <c r="S15" s="44" t="str">
        <f t="shared" si="20"/>
        <v>Kurang</v>
      </c>
      <c r="T15" s="45">
        <f>SLOPE(W2:W6,U2:U6)</f>
        <v>98.26631812</v>
      </c>
      <c r="U15" s="45">
        <f>SLOPE(V2:V6,U2:U6)</f>
        <v>2359.307547</v>
      </c>
      <c r="V15" s="45">
        <f>STEYX(W2:W6,U2:U6)^2/DEVSQ(U2:U6)</f>
        <v>5345487.343</v>
      </c>
      <c r="W15" s="45">
        <f>STEYX(V2:V6,U2:U6)^2/DEVSQ(U2:U6)</f>
        <v>1017.456082</v>
      </c>
      <c r="X15" s="45">
        <f t="shared" si="21"/>
        <v>0.9778528392</v>
      </c>
      <c r="Y15" s="45">
        <f>_xlfn.T.INV.2T(0.05,2*COUNT(U2:U6)-4)</f>
        <v>2.446911851</v>
      </c>
      <c r="Z15" s="46" t="str">
        <f t="shared" si="22"/>
        <v>Sama</v>
      </c>
      <c r="AA15" s="46" t="str">
        <f t="shared" si="23"/>
        <v>Tidak berbeda nyata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ht="22.5" customHeight="1">
      <c r="A16" s="39" t="s">
        <v>6</v>
      </c>
      <c r="B16" s="42">
        <f>AVERAGE(AB2:AB6)</f>
        <v>0.43068</v>
      </c>
      <c r="C16" s="42">
        <f>AVERAGE(AA2:AA6)</f>
        <v>0.324483</v>
      </c>
      <c r="D16" s="42">
        <f>_xlfn.STDEV.P(AB2:AB6)</f>
        <v>0.02740046715</v>
      </c>
      <c r="E16" s="42">
        <f>_xlfn.STDEV.P(AA2:AA6)</f>
        <v>0.0524672808</v>
      </c>
      <c r="F16" s="42">
        <f>CORREL(AB2:AB6,AA2:AA6)</f>
        <v>-0.6856524339</v>
      </c>
      <c r="G16" s="42">
        <f t="shared" si="10"/>
        <v>0.2465798272</v>
      </c>
      <c r="H16" s="42">
        <f t="shared" si="11"/>
        <v>0.9148316164</v>
      </c>
      <c r="I16" s="42">
        <f>_xlfn.STDEV.P(AC2:AC6)/(D16+E16)</f>
        <v>0.9264494144</v>
      </c>
      <c r="J16" s="42">
        <f t="shared" si="12"/>
        <v>0.01127780281</v>
      </c>
      <c r="K16" s="42">
        <f t="shared" si="13"/>
        <v>0.0006283451467</v>
      </c>
      <c r="L16" s="42">
        <f t="shared" si="14"/>
        <v>0.004846682288</v>
      </c>
      <c r="M16" s="42">
        <f t="shared" si="15"/>
        <v>0.6731879118</v>
      </c>
      <c r="N16" s="42">
        <f t="shared" si="16"/>
        <v>0.03750680557</v>
      </c>
      <c r="O16" s="42">
        <f t="shared" si="17"/>
        <v>0.2893052826</v>
      </c>
      <c r="P16" s="42">
        <f>SUMPRODUCT(ABS(AC2:AC6/AB2:AB6))/COUNT(AB2:AB6)</f>
        <v>0.2377400286</v>
      </c>
      <c r="Q16" s="44" t="str">
        <f t="shared" si="18"/>
        <v>Tidak</v>
      </c>
      <c r="R16" s="44" t="str">
        <f t="shared" si="19"/>
        <v>Tidak</v>
      </c>
      <c r="S16" s="44" t="str">
        <f t="shared" si="20"/>
        <v>Kurang</v>
      </c>
      <c r="T16" s="45">
        <f>SLOPE(AB2:AB6,Z2:Z6)</f>
        <v>-0.01033207547</v>
      </c>
      <c r="U16" s="45">
        <f>SLOPE(AA2:AA6,Z2:Z6)</f>
        <v>0.02525117925</v>
      </c>
      <c r="V16" s="45">
        <f>STEYX(AB2:AB6,Z2:Z6)^2/DEVSQ(Z2:Z6)</f>
        <v>0.00002344009731</v>
      </c>
      <c r="W16" s="45">
        <f>STEYX(AA2:AA6,Z2:Z6)^2/DEVSQ(Z2:Z6)</f>
        <v>0.000003875632775</v>
      </c>
      <c r="X16" s="45">
        <f t="shared" si="21"/>
        <v>6.808309076</v>
      </c>
      <c r="Y16" s="45">
        <f>_xlfn.T.INV.2T(0.05,2*COUNT(Z2:Z6)-4)</f>
        <v>2.446911851</v>
      </c>
      <c r="Z16" s="46" t="str">
        <f t="shared" si="22"/>
        <v>Berlawanan</v>
      </c>
      <c r="AA16" s="46" t="str">
        <f t="shared" si="23"/>
        <v>Berlawanan arah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 ht="22.5" customHeight="1">
      <c r="A17" s="39" t="s">
        <v>7</v>
      </c>
      <c r="B17" s="42">
        <f>AVERAGE(AG2:AG6)</f>
        <v>14881.518</v>
      </c>
      <c r="C17" s="42">
        <f>AVERAGE(AF2:AF6)</f>
        <v>10695.41</v>
      </c>
      <c r="D17" s="42">
        <f>_xlfn.STDEV.P(AG2:AG6)</f>
        <v>1405.58894</v>
      </c>
      <c r="E17" s="42">
        <f>_xlfn.STDEV.P(AF2:AF6)</f>
        <v>1264.768266</v>
      </c>
      <c r="F17" s="42">
        <f>CORREL(AG2:AG6,AF2:AF6)</f>
        <v>0.9452876135</v>
      </c>
      <c r="G17" s="42">
        <f t="shared" si="10"/>
        <v>0.2812957657</v>
      </c>
      <c r="H17" s="42">
        <f t="shared" si="11"/>
        <v>0.1001862422</v>
      </c>
      <c r="I17" s="42">
        <f>_xlfn.STDEV.P(AH2:AH6)/(D17+E17)</f>
        <v>0.1733812933</v>
      </c>
      <c r="J17" s="42">
        <f t="shared" si="12"/>
        <v>17523500.19</v>
      </c>
      <c r="K17" s="42">
        <f t="shared" si="13"/>
        <v>19830.46223</v>
      </c>
      <c r="L17" s="42">
        <f t="shared" si="14"/>
        <v>194529.2649</v>
      </c>
      <c r="M17" s="42">
        <f t="shared" si="15"/>
        <v>0.9879151302</v>
      </c>
      <c r="N17" s="42">
        <f t="shared" si="16"/>
        <v>0.001117973776</v>
      </c>
      <c r="O17" s="42">
        <f t="shared" si="17"/>
        <v>0.010966896</v>
      </c>
      <c r="P17" s="42">
        <f>SUMPRODUCT(ABS(AH2:AH6/AG2:AG6))/COUNT(AG2:AG6)</f>
        <v>0.2825974884</v>
      </c>
      <c r="Q17" s="44" t="str">
        <f t="shared" si="18"/>
        <v>Tidak</v>
      </c>
      <c r="R17" s="44" t="str">
        <f t="shared" si="19"/>
        <v>Lolos</v>
      </c>
      <c r="S17" s="44" t="str">
        <f t="shared" si="20"/>
        <v>Baik</v>
      </c>
      <c r="T17" s="45">
        <f>SLOPE(AG2:AG6,AE2:AE6)</f>
        <v>634.0559434</v>
      </c>
      <c r="U17" s="45">
        <f>SLOPE(AF2:AF6,AE2:AE6)</f>
        <v>613.4773585</v>
      </c>
      <c r="V17" s="45">
        <f>STEYX(AG2:AG6,AE2:AE6)^2/DEVSQ(AE2:AE6)</f>
        <v>21311.796</v>
      </c>
      <c r="W17" s="45">
        <f>STEYX(AF2:AF6,AE2:AE6)^2/DEVSQ(AE2:AE6)</f>
        <v>306.2748606</v>
      </c>
      <c r="X17" s="45">
        <f t="shared" si="21"/>
        <v>0.1399610007</v>
      </c>
      <c r="Y17" s="45">
        <f>_xlfn.T.INV.2T(0.05,2*COUNT(AE2:AE6)-4)</f>
        <v>2.446911851</v>
      </c>
      <c r="Z17" s="46" t="str">
        <f t="shared" si="22"/>
        <v>Sama</v>
      </c>
      <c r="AA17" s="46" t="str">
        <f t="shared" si="23"/>
        <v>Tidak berbeda nyata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ht="22.5" customHeight="1">
      <c r="A18" s="39" t="s">
        <v>8</v>
      </c>
      <c r="B18" s="42">
        <f>AVERAGE(AL2:AL6)</f>
        <v>883.7051998</v>
      </c>
      <c r="C18" s="42">
        <f>AVERAGE(AK2:AK6)</f>
        <v>522.1228</v>
      </c>
      <c r="D18" s="42">
        <f>_xlfn.STDEV.P(AL2:AL6)</f>
        <v>318.3402585</v>
      </c>
      <c r="E18" s="42">
        <f>_xlfn.STDEV.P(AK2:AK6)</f>
        <v>61.74301614</v>
      </c>
      <c r="F18" s="42">
        <f>CORREL(AL2:AL6,AK2:AK6)</f>
        <v>0.5406461825</v>
      </c>
      <c r="G18" s="42">
        <f t="shared" si="10"/>
        <v>0.4091663146</v>
      </c>
      <c r="H18" s="42">
        <f t="shared" si="11"/>
        <v>0.8060471006</v>
      </c>
      <c r="I18" s="42">
        <f>_xlfn.STDEV.P(AM2:AM6)/(D18+E18)</f>
        <v>0.7620811261</v>
      </c>
      <c r="J18" s="42">
        <f t="shared" si="12"/>
        <v>130741.8318</v>
      </c>
      <c r="K18" s="42">
        <f t="shared" si="13"/>
        <v>65842.14479</v>
      </c>
      <c r="L18" s="42">
        <f t="shared" si="14"/>
        <v>18057.4629</v>
      </c>
      <c r="M18" s="42">
        <f t="shared" si="15"/>
        <v>0.6091173826</v>
      </c>
      <c r="N18" s="42">
        <f t="shared" si="16"/>
        <v>0.3067541148</v>
      </c>
      <c r="O18" s="42">
        <f t="shared" si="17"/>
        <v>0.08412850257</v>
      </c>
      <c r="P18" s="42">
        <f>SUMPRODUCT(ABS(AM2:AM6/AL2:AL6))/COUNT(AL2:AL6)</f>
        <v>0.364462416</v>
      </c>
      <c r="Q18" s="44" t="str">
        <f t="shared" si="18"/>
        <v>Tidak</v>
      </c>
      <c r="R18" s="44" t="str">
        <f t="shared" si="19"/>
        <v>Tidak</v>
      </c>
      <c r="S18" s="44" t="str">
        <f t="shared" si="20"/>
        <v>Kurang</v>
      </c>
      <c r="T18" s="45">
        <f>SLOPE(AL2:AL6,AJ2:AJ6)</f>
        <v>80.29306121</v>
      </c>
      <c r="U18" s="45">
        <f>SLOPE(AK2:AK6,AJ2:AJ6)</f>
        <v>29.94851887</v>
      </c>
      <c r="V18" s="45">
        <f>STEYX(AL2:AL6,AJ2:AJ6)^2/DEVSQ(AJ2:AJ6)</f>
        <v>5818.030135</v>
      </c>
      <c r="W18" s="45">
        <f>STEYX(AK2:AK6,AJ2:AJ6)^2/DEVSQ(AJ2:AJ6)</f>
        <v>0.730000382</v>
      </c>
      <c r="X18" s="45">
        <f t="shared" si="21"/>
        <v>0.6599897182</v>
      </c>
      <c r="Y18" s="45">
        <f>_xlfn.T.INV.2T(0.05,2*COUNT(AJ2:AJ6)-4)</f>
        <v>2.446911851</v>
      </c>
      <c r="Z18" s="46" t="str">
        <f t="shared" si="22"/>
        <v>Sama</v>
      </c>
      <c r="AA18" s="46" t="str">
        <f t="shared" si="23"/>
        <v>Tidak berbeda nyata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ht="22.5" customHeight="1">
      <c r="A19" s="39" t="s">
        <v>9</v>
      </c>
      <c r="B19" s="42">
        <f>AVERAGE(AQ2:AQ6)</f>
        <v>11501299.2</v>
      </c>
      <c r="C19" s="42">
        <f>AVERAGE(AP2:AP6)</f>
        <v>7542350</v>
      </c>
      <c r="D19" s="42">
        <f>_xlfn.STDEV.P(AQ2:AQ6)</f>
        <v>1317006.109</v>
      </c>
      <c r="E19" s="42">
        <f>_xlfn.STDEV.P(AP2:AP6)</f>
        <v>891917.3631</v>
      </c>
      <c r="F19" s="42">
        <f>CORREL(AQ2:AQ6,AP2:AP6)</f>
        <v>-0.2787116156</v>
      </c>
      <c r="G19" s="42">
        <f t="shared" si="10"/>
        <v>0.3442175646</v>
      </c>
      <c r="H19" s="42">
        <f t="shared" si="11"/>
        <v>0.3227690007</v>
      </c>
      <c r="I19" s="42">
        <f>_xlfn.STDEV.P(AR2:AR6)/(D19+E19)</f>
        <v>0.8079058239</v>
      </c>
      <c r="J19" s="42">
        <f t="shared" si="12"/>
        <v>15673278768181</v>
      </c>
      <c r="K19" s="42">
        <f t="shared" si="13"/>
        <v>180700441703</v>
      </c>
      <c r="L19" s="42">
        <f t="shared" si="14"/>
        <v>3004104347336</v>
      </c>
      <c r="M19" s="42">
        <f t="shared" si="15"/>
        <v>0.8311172618</v>
      </c>
      <c r="N19" s="42">
        <f t="shared" si="16"/>
        <v>0.009582121171</v>
      </c>
      <c r="O19" s="42">
        <f t="shared" si="17"/>
        <v>0.1593006171</v>
      </c>
      <c r="P19" s="42">
        <f>SUMPRODUCT(ABS(AR2:AR6/AQ2:AQ6))/COUNT(AQ2:AQ6)</f>
        <v>0.3332595195</v>
      </c>
      <c r="Q19" s="44" t="str">
        <f t="shared" si="18"/>
        <v>Tidak</v>
      </c>
      <c r="R19" s="44" t="str">
        <f t="shared" si="19"/>
        <v>Tidak</v>
      </c>
      <c r="S19" s="44" t="str">
        <f t="shared" si="20"/>
        <v>Kurang</v>
      </c>
      <c r="T19" s="45">
        <f>SLOPE(AQ2:AQ6,AO2:AO6)</f>
        <v>-203233.1415</v>
      </c>
      <c r="U19" s="45">
        <f>SLOPE(AP2:AP6,AO2:AO6)</f>
        <v>432625.4717</v>
      </c>
      <c r="V19" s="45">
        <f>STEYX(AQ2:AQ6,AO2:AO6)^2/DEVSQ(AO2:AO6)</f>
        <v>122592559825</v>
      </c>
      <c r="W19" s="45">
        <f>STEYX(AP2:AP6,AO2:AO6)^2/DEVSQ(AO2:AO6)</f>
        <v>152345585.6</v>
      </c>
      <c r="X19" s="45">
        <f t="shared" si="21"/>
        <v>1.814925576</v>
      </c>
      <c r="Y19" s="45">
        <f>_xlfn.T.INV.2T(0.05,2*COUNT(AO2:AO6)-4)</f>
        <v>2.446911851</v>
      </c>
      <c r="Z19" s="46" t="str">
        <f t="shared" si="22"/>
        <v>Berlawanan</v>
      </c>
      <c r="AA19" s="46" t="str">
        <f t="shared" si="23"/>
        <v>Berlawanan arah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</row>
  </sheetData>
  <dataValidations>
    <dataValidation type="custom" allowBlank="1" showDropDown="1" sqref="T11:Y19">
      <formula1>AND(ISNUMBER(T11),(NOT(OR(NOT(ISERROR(DATEVALUE(T11))), AND(ISNUMBER(T11), LEFT(CELL("format", T11))="D")))))</formula1>
    </dataValidation>
    <dataValidation type="custom" allowBlank="1" showDropDown="1" sqref="B2:D6 G2:I6 L2:N6 Q2:S6 V2:X6 AA2:AC6 AF2:AH6 AK2:AM6 AP2:AR6 B11:P19">
      <formula1/>
    </dataValidation>
    <dataValidation type="list" allowBlank="1" sqref="Q11:S19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3">
    <tablePart r:id="rId5"/>
    <tablePart r:id="rId6"/>
    <tablePart r:id="rId7"/>
  </tableParts>
</worksheet>
</file>