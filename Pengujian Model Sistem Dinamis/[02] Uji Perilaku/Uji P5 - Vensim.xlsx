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mbanding" sheetId="1" r:id="rId5"/>
    <sheet state="visible" name="Uji P5" sheetId="2" r:id="rId6"/>
    <sheet state="visible" name="Uji P5 Tanpa COVID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<sst xmlns="http://schemas.openxmlformats.org/spreadsheetml/2006/main" count="81" uniqueCount="45">
  <si>
    <t>Time (Tahun)</t>
  </si>
  <si>
    <t>Jumlah Wisatawan : Uji P5</t>
  </si>
  <si>
    <t>Tahun</t>
  </si>
  <si>
    <t>Jumlah Wisatawan (simulasi)</t>
  </si>
  <si>
    <t>Jumlah Wisatawan</t>
  </si>
  <si>
    <t>Jumlah Hotel dan Akomodasi</t>
  </si>
  <si>
    <t>Jumlah Wisatawan (data)</t>
  </si>
  <si>
    <t>Jumlah Objek Daya Tarik Wisata</t>
  </si>
  <si>
    <t>Galat</t>
  </si>
  <si>
    <t>Tenaga Kerja Pariwisata</t>
  </si>
  <si>
    <t>Lahan Terbangun</t>
  </si>
  <si>
    <t>Tingkat Penghunian Kamar (TPK)</t>
  </si>
  <si>
    <t>PDRB Sektor Pariwisata</t>
  </si>
  <si>
    <t>Investasi Sektor Pariwisata</t>
  </si>
  <si>
    <t>Total Malam Menginap</t>
  </si>
  <si>
    <t>Statistik Barlas (1989) — tanpa tahun COVID (2016–2019, 2022–2025, n = 8)</t>
  </si>
  <si>
    <t>Variabel</t>
  </si>
  <si>
    <t>Rata-rata data</t>
  </si>
  <si>
    <t>Rata-rata simulasi</t>
  </si>
  <si>
    <t>Simpangan baku data</t>
  </si>
  <si>
    <t>Simpangan baku simulasi</t>
  </si>
  <si>
    <t>Korelasi (r)</t>
  </si>
  <si>
    <t>E1</t>
  </si>
  <si>
    <t>E2</t>
  </si>
  <si>
    <t>DC</t>
  </si>
  <si>
    <t>Suku 1</t>
  </si>
  <si>
    <t>Suku 2</t>
  </si>
  <si>
    <t>Suku 3</t>
  </si>
  <si>
    <t>U1</t>
  </si>
  <si>
    <t>U2</t>
  </si>
  <si>
    <t>U3</t>
  </si>
  <si>
    <t>MAPE</t>
  </si>
  <si>
    <t>Lolos E1</t>
  </si>
  <si>
    <t>Lolos E2</t>
  </si>
  <si>
    <t>Kategori DC</t>
  </si>
  <si>
    <t>Kemiringan data</t>
  </si>
  <si>
    <t>Kemiringan simulasi</t>
  </si>
  <si>
    <t>Varians kemiringan data</t>
  </si>
  <si>
    <t>Varians kemiringan simulasi</t>
  </si>
  <si>
    <t>t hitung</t>
  </si>
  <si>
    <t>t tabel (α=0,05)</t>
  </si>
  <si>
    <t>Arah tren</t>
  </si>
  <si>
    <t>Status tren</t>
  </si>
  <si>
    <t>Statistik Barlas (1989) — termasuk tahun COVID (2016–2025, n = 10)</t>
  </si>
  <si>
    <t>Tahun Covid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</si>
</sst>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mbria"/>
    </font>
    <font>
      <sz val="11.0"/>
      <color theme="1"/>
      <name val="Arial"/>
    </font>
    <font>
      <sz val="10.0"/>
      <color rgb="FF00000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1" fillId="0" fontId="4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readingOrder="0"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center" wrapText="1"/>
    </xf>
    <xf borderId="2" fillId="2" fontId="3" numFmtId="0" xfId="0" applyAlignment="1" applyBorder="1" applyFill="1" applyFont="1">
      <alignment shrinkToFit="0" vertical="center" wrapText="0"/>
    </xf>
    <xf borderId="1" fillId="3" fontId="4" numFmtId="0" xfId="0" applyAlignment="1" applyBorder="1" applyFill="1" applyFont="1">
      <alignment shrinkToFit="0" vertical="bottom" wrapText="0"/>
    </xf>
    <xf borderId="1" fillId="3" fontId="4" numFmtId="164" xfId="0" applyAlignment="1" applyBorder="1" applyFill="1" applyFont="1" applyNumberFormat="1">
      <alignment readingOrder="0" shrinkToFit="0" vertical="bottom" wrapText="0"/>
    </xf>
    <xf borderId="1" fillId="3" fontId="4" numFmtId="164" xfId="0" applyAlignment="1" applyBorder="1" applyFill="1" applyFont="1" applyNumberFormat="1">
      <alignment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3" fillId="2" fontId="3" numFmtId="0" xfId="0" applyAlignment="1" applyBorder="1" applyFill="1" applyFont="1">
      <alignment horizontal="center" shrinkToFit="0" vertical="bottom" wrapText="0"/>
    </xf>
    <xf borderId="4" fillId="0" fontId="5" numFmtId="0" xfId="0" applyBorder="1" applyFont="1"/>
    <xf borderId="1" fillId="0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Uji P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Pemband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5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5 Tanpa COVI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5 Tanpa COVID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2" displayName="Table2" name="Table2" id="1">
  <tableColumns count="10">
    <tableColumn name="Tahun" id="1"/>
    <tableColumn name="Jumlah Wisatawan" id="2"/>
    <tableColumn name="Jumlah Hotel dan Akomodasi" id="3"/>
    <tableColumn name="Jumlah Objek Daya Tarik Wisata" id="4"/>
    <tableColumn name="Tenaga Kerja Pariwisata" id="5"/>
    <tableColumn name="Lahan Terbangun" id="6"/>
    <tableColumn name="Tingkat Penghunian Kamar (TPK)" id="7"/>
    <tableColumn name="PDRB Sektor Pariwisata" id="8"/>
    <tableColumn name="Investasi Sektor Pariwisata" id="9"/>
    <tableColumn name="Total Malam Menginap" id="10"/>
  </tableColumns>
  <tableStyleInfo name="Data Pembanding-style" showColumnStripes="0" showFirstColumn="1" showLastColumn="1" showRowStripes="1"/>
</table>
</file>

<file path=xl/tables/table2.xml><?xml version="1.0" encoding="utf-8"?>
<table xmlns="http://schemas.openxmlformats.org/spreadsheetml/2006/main" ref="A1:D11" displayName="Table3" name="Table3" id="2">
  <tableColumns count="4">
    <tableColumn name="Tahun" id="1"/>
    <tableColumn name="Jumlah Wisatawan (simulasi)" id="2"/>
    <tableColumn name="Jumlah Wisatawan (data)" id="3"/>
    <tableColumn name="Galat" id="4"/>
  </tableColumns>
  <tableStyleInfo name="Uji P5-style" showColumnStripes="0" showFirstColumn="1" showLastColumn="1" showRowStripes="1"/>
</table>
</file>

<file path=xl/tables/table3.xml><?xml version="1.0" encoding="utf-8"?>
<table xmlns="http://schemas.openxmlformats.org/spreadsheetml/2006/main" ref="A15:AA16" displayName="Table4" name="Table4" id="4">
  <tableColumns count="27">
    <tableColumn name="Variabel" id="1"/>
    <tableColumn name="Rata-rata data" id="2"/>
    <tableColumn name="Rata-rata simulasi" id="3"/>
    <tableColumn name="Simpangan baku data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Kategori DC" id="19"/>
    <tableColumn name="Kemiringan data" id="20"/>
    <tableColumn name="Kemiringa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P5-style 2" showColumnStripes="0" showFirstColumn="1" showLastColumn="1" showRowStripes="1"/>
</table>
</file>

<file path=xl/tables/table4.xml><?xml version="1.0" encoding="utf-8"?>
<table xmlns="http://schemas.openxmlformats.org/spreadsheetml/2006/main" ref="A1:D9" displayName="Table5" name="Table5" id="3">
  <tableColumns count="4">
    <tableColumn name="Tahun" id="1"/>
    <tableColumn name="Jumlah Wisatawan (simulasi)" id="2"/>
    <tableColumn name="Jumlah Wisatawan (data)" id="3"/>
    <tableColumn name="Galat" id="4"/>
  </tableColumns>
  <tableStyleInfo name="Uji P5 Tanpa COVID-style" showColumnStripes="0" showFirstColumn="1" showLastColumn="1" showRowStripes="1"/>
</table>
</file>

<file path=xl/tables/table5.xml><?xml version="1.0" encoding="utf-8"?>
<table xmlns="http://schemas.openxmlformats.org/spreadsheetml/2006/main" ref="A13:AA14" displayName="Table6" name="Table6" id="5">
  <tableColumns count="27">
    <tableColumn name="Variabel" id="1"/>
    <tableColumn name="Rata-rata data" id="2"/>
    <tableColumn name="Rata-rata simulasi" id="3"/>
    <tableColumn name="Simpangan baku data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Kategori DC" id="19"/>
    <tableColumn name="Kemiringan data" id="20"/>
    <tableColumn name="Kemiringa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P5 Tanpa COVI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4.13"/>
    <col customWidth="1" min="3" max="3" width="32.63"/>
    <col customWidth="1" min="4" max="4" width="35.25"/>
    <col customWidth="1" min="5" max="5" width="28.5"/>
    <col customWidth="1" min="6" max="6" width="23.0"/>
    <col customWidth="1" min="7" max="7" width="36.25"/>
    <col customWidth="1" min="8" max="8" width="28.63"/>
    <col customWidth="1" min="9" max="9" width="30.75"/>
    <col customWidth="1" min="10" max="10" width="27.25"/>
  </cols>
  <sheetData>
    <row r="1" ht="22.5" customHeight="1">
      <c r="A1" s="5" t="s">
        <v>2</v>
      </c>
      <c r="B1" s="5" t="s">
        <v>4</v>
      </c>
      <c r="C1" s="5" t="s">
        <v>5</v>
      </c>
      <c r="D1" s="5" t="s">
        <v>7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</row>
    <row r="2" ht="22.5" customHeight="1">
      <c r="A2" s="6">
        <v>2015.0</v>
      </c>
      <c r="B2" s="6">
        <v>1.47499587543139E7</v>
      </c>
      <c r="C2" s="6">
        <v>1165.0</v>
      </c>
      <c r="D2" s="6">
        <v>165.0</v>
      </c>
      <c r="E2" s="6">
        <v>254537.0</v>
      </c>
      <c r="F2" s="6">
        <v>43037.0049074862</v>
      </c>
      <c r="G2" s="6">
        <v>34.89</v>
      </c>
      <c r="H2" s="6">
        <v>10131.09</v>
      </c>
      <c r="I2" s="6">
        <v>53.0896</v>
      </c>
      <c r="J2" s="6">
        <v>5698325.0</v>
      </c>
    </row>
    <row r="3" ht="22.5" customHeight="1">
      <c r="A3" s="6">
        <v>2016.0</v>
      </c>
      <c r="B3" s="6">
        <v>1.50663094573418E7</v>
      </c>
      <c r="C3" s="6">
        <v>1170.0</v>
      </c>
      <c r="D3" s="6">
        <v>158.0</v>
      </c>
      <c r="E3" s="6">
        <v>263878.0</v>
      </c>
      <c r="F3" s="6">
        <v>44561.0784555117</v>
      </c>
      <c r="G3" s="6">
        <v>37.72</v>
      </c>
      <c r="H3" s="6">
        <v>10694.03</v>
      </c>
      <c r="I3" s="6">
        <v>373.8424</v>
      </c>
      <c r="J3" s="6">
        <v>6097324.0</v>
      </c>
    </row>
    <row r="4" ht="22.5" customHeight="1">
      <c r="A4" s="6">
        <v>2017.0</v>
      </c>
      <c r="B4" s="6">
        <v>1.52804571667941E7</v>
      </c>
      <c r="C4" s="6">
        <v>1179.0</v>
      </c>
      <c r="D4" s="6">
        <v>171.0</v>
      </c>
      <c r="E4" s="6">
        <v>273563.0</v>
      </c>
      <c r="F4" s="6">
        <v>50223.957001398</v>
      </c>
      <c r="G4" s="6">
        <v>45.08</v>
      </c>
      <c r="H4" s="6">
        <v>11347.59</v>
      </c>
      <c r="I4" s="6">
        <v>165.3915</v>
      </c>
      <c r="J4" s="6">
        <v>1.08999E7</v>
      </c>
    </row>
    <row r="5" ht="22.5" customHeight="1">
      <c r="A5" s="6">
        <v>2018.0</v>
      </c>
      <c r="B5" s="6">
        <v>1.83909711595411E7</v>
      </c>
      <c r="C5" s="6">
        <v>1617.0</v>
      </c>
      <c r="D5" s="6">
        <v>177.0</v>
      </c>
      <c r="E5" s="6">
        <v>354684.0</v>
      </c>
      <c r="F5" s="6">
        <v>56624.3602289948</v>
      </c>
      <c r="G5" s="6">
        <v>45.11</v>
      </c>
      <c r="H5" s="6">
        <v>12100.99</v>
      </c>
      <c r="I5" s="6">
        <v>568.3341</v>
      </c>
      <c r="J5" s="6">
        <v>1.0293319E7</v>
      </c>
    </row>
    <row r="6" ht="22.5" customHeight="1">
      <c r="A6" s="6">
        <v>2019.0</v>
      </c>
      <c r="B6" s="6">
        <v>2.0520104E7</v>
      </c>
      <c r="C6" s="6">
        <v>1817.0</v>
      </c>
      <c r="D6" s="6">
        <v>189.0</v>
      </c>
      <c r="E6" s="6">
        <v>334784.0</v>
      </c>
      <c r="F6" s="6">
        <v>63480.0442236269</v>
      </c>
      <c r="G6" s="6">
        <v>45.34</v>
      </c>
      <c r="H6" s="6">
        <v>13104.38</v>
      </c>
      <c r="I6" s="6">
        <v>741.4483</v>
      </c>
      <c r="J6" s="6">
        <v>1.3363923E7</v>
      </c>
    </row>
    <row r="7" ht="22.5" customHeight="1">
      <c r="A7" s="12">
        <v>2020.0</v>
      </c>
      <c r="B7" s="12">
        <v>1.9610135E7</v>
      </c>
      <c r="C7" s="12">
        <v>1848.0</v>
      </c>
      <c r="D7" s="12">
        <v>180.0</v>
      </c>
      <c r="E7" s="12">
        <v>313840.0</v>
      </c>
      <c r="F7" s="12">
        <v>58962.0411105434</v>
      </c>
      <c r="G7" s="12">
        <v>28.9</v>
      </c>
      <c r="H7" s="12">
        <v>10926.83</v>
      </c>
      <c r="I7" s="12">
        <v>489.6932</v>
      </c>
      <c r="J7" s="12">
        <v>4753098.0</v>
      </c>
    </row>
    <row r="8" ht="22.5" customHeight="1">
      <c r="A8" s="12">
        <v>2021.0</v>
      </c>
      <c r="B8" s="12">
        <v>2.28493945E7</v>
      </c>
      <c r="C8" s="12">
        <v>1696.0</v>
      </c>
      <c r="D8" s="12">
        <v>170.0</v>
      </c>
      <c r="E8" s="12">
        <v>310755.0</v>
      </c>
      <c r="F8" s="12">
        <v>59887.5260314565</v>
      </c>
      <c r="G8" s="12">
        <v>27.48</v>
      </c>
      <c r="H8" s="12">
        <v>12097.19</v>
      </c>
      <c r="I8" s="12">
        <v>848.8042</v>
      </c>
      <c r="J8" s="12">
        <v>7379577.0</v>
      </c>
    </row>
    <row r="9" ht="22.5" customHeight="1">
      <c r="A9" s="6">
        <v>2022.0</v>
      </c>
      <c r="B9" s="6">
        <v>2.5755726E7</v>
      </c>
      <c r="C9" s="6">
        <v>1818.0</v>
      </c>
      <c r="D9" s="6">
        <v>183.0</v>
      </c>
      <c r="E9" s="6">
        <v>395284.0</v>
      </c>
      <c r="F9" s="6">
        <v>57709.075808398</v>
      </c>
      <c r="G9" s="6">
        <v>44.99</v>
      </c>
      <c r="H9" s="6">
        <v>13672.58</v>
      </c>
      <c r="I9" s="6">
        <v>463.5886</v>
      </c>
      <c r="J9" s="6">
        <v>9267217.0</v>
      </c>
    </row>
    <row r="10" ht="22.5" customHeight="1">
      <c r="A10" s="6">
        <v>2023.0</v>
      </c>
      <c r="B10" s="6">
        <v>3.054258E7</v>
      </c>
      <c r="C10" s="6">
        <v>1820.0</v>
      </c>
      <c r="D10" s="6">
        <v>201.0</v>
      </c>
      <c r="E10" s="6">
        <v>359340.0</v>
      </c>
      <c r="F10" s="6">
        <v>75624.403529316</v>
      </c>
      <c r="G10" s="6">
        <v>44.77</v>
      </c>
      <c r="H10" s="6">
        <v>14809.2</v>
      </c>
      <c r="I10" s="6">
        <v>1175.2552</v>
      </c>
      <c r="J10" s="6">
        <v>1.1417702E7</v>
      </c>
    </row>
    <row r="11" ht="22.5" customHeight="1">
      <c r="A11" s="6">
        <v>2024.0</v>
      </c>
      <c r="B11" s="6">
        <v>3.8134536E7</v>
      </c>
      <c r="C11" s="6">
        <v>2000.0</v>
      </c>
      <c r="D11" s="6">
        <v>218.0</v>
      </c>
      <c r="E11" s="6">
        <v>350946.0</v>
      </c>
      <c r="F11" s="6">
        <v>73511.574651116</v>
      </c>
      <c r="G11" s="6">
        <v>42.17</v>
      </c>
      <c r="H11" s="6">
        <v>15873.81</v>
      </c>
      <c r="I11" s="6">
        <v>712.2835</v>
      </c>
      <c r="J11" s="6">
        <v>1.150354E7</v>
      </c>
    </row>
    <row r="12" ht="22.5" customHeight="1">
      <c r="A12" s="6">
        <v>2025.0</v>
      </c>
      <c r="B12" s="6">
        <v>4.0695654E7</v>
      </c>
      <c r="C12" s="6">
        <v>2291.0</v>
      </c>
      <c r="D12" s="6">
        <v>201.0</v>
      </c>
      <c r="E12" s="6">
        <v>364994.0</v>
      </c>
      <c r="F12" s="6">
        <v>55029.5352961885</v>
      </c>
      <c r="G12" s="6">
        <v>38.07</v>
      </c>
      <c r="H12" s="6">
        <v>16947.62</v>
      </c>
      <c r="I12" s="6">
        <v>1325.950399</v>
      </c>
      <c r="J12" s="6">
        <v>1.1954114E7</v>
      </c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 ht="15.75" customHeight="1">
      <c r="A15" s="19" t="s">
        <v>44</v>
      </c>
      <c r="B15" s="20"/>
      <c r="C15" s="18"/>
      <c r="D15" s="18"/>
      <c r="E15" s="18"/>
      <c r="F15" s="18"/>
      <c r="G15" s="18"/>
      <c r="H15" s="18"/>
      <c r="I15" s="18"/>
      <c r="J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5:B15"/>
  </mergeCells>
  <dataValidations>
    <dataValidation type="custom" allowBlank="1" showDropDown="1" sqref="A2:J12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0"/>
    <col customWidth="1" min="2" max="6" width="21.13"/>
    <col customWidth="1" min="7" max="18" width="14.0"/>
    <col customWidth="1" min="19" max="25" width="22.75"/>
    <col customWidth="1" min="26" max="26" width="14.0"/>
    <col customWidth="1" min="27" max="27" width="17.38"/>
  </cols>
  <sheetData>
    <row r="1" ht="31.5" customHeight="1">
      <c r="A1" s="4" t="s">
        <v>2</v>
      </c>
      <c r="B1" s="4" t="s">
        <v>3</v>
      </c>
      <c r="C1" s="4" t="s">
        <v>6</v>
      </c>
      <c r="D1" s="4" t="s">
        <v>8</v>
      </c>
    </row>
    <row r="2" ht="22.5" customHeight="1">
      <c r="A2" s="7">
        <v>2016.0</v>
      </c>
      <c r="B2" s="8">
        <v>1.50663E7</v>
      </c>
      <c r="C2" s="7">
        <f>'Data Pembanding'!B3</f>
        <v>15066309.46</v>
      </c>
      <c r="D2" s="9">
        <f t="shared" ref="D2:D11" si="1">B2-C2</f>
        <v>-9.4573418</v>
      </c>
    </row>
    <row r="3" ht="22.5" customHeight="1">
      <c r="A3" s="7">
        <v>2017.0</v>
      </c>
      <c r="B3" s="8">
        <v>1.60058E7</v>
      </c>
      <c r="C3" s="7">
        <f>'Data Pembanding'!B4</f>
        <v>15280457.17</v>
      </c>
      <c r="D3" s="9">
        <f t="shared" si="1"/>
        <v>725342.8332</v>
      </c>
    </row>
    <row r="4" ht="22.5" customHeight="1">
      <c r="A4" s="7">
        <v>2018.0</v>
      </c>
      <c r="B4" s="8">
        <v>1.70191E7</v>
      </c>
      <c r="C4" s="7">
        <f>'Data Pembanding'!B5</f>
        <v>18390971.16</v>
      </c>
      <c r="D4" s="9">
        <f t="shared" si="1"/>
        <v>-1371871.16</v>
      </c>
    </row>
    <row r="5" ht="22.5" customHeight="1">
      <c r="A5" s="7">
        <v>2019.0</v>
      </c>
      <c r="B5" s="8">
        <v>1.80866E7</v>
      </c>
      <c r="C5" s="7">
        <f>'Data Pembanding'!B6</f>
        <v>20520104</v>
      </c>
      <c r="D5" s="9">
        <f t="shared" si="1"/>
        <v>-2433504</v>
      </c>
    </row>
    <row r="6" ht="22.5" customHeight="1">
      <c r="A6" s="13">
        <v>2020.0</v>
      </c>
      <c r="B6" s="14">
        <v>1.92266E7</v>
      </c>
      <c r="C6" s="7">
        <f>'Data Pembanding'!B7</f>
        <v>19610135</v>
      </c>
      <c r="D6" s="15">
        <f t="shared" si="1"/>
        <v>-383535</v>
      </c>
    </row>
    <row r="7" ht="22.5" customHeight="1">
      <c r="A7" s="13">
        <v>2021.0</v>
      </c>
      <c r="B7" s="14">
        <v>2.04312E7</v>
      </c>
      <c r="C7" s="7">
        <f>'Data Pembanding'!B8</f>
        <v>22849394.5</v>
      </c>
      <c r="D7" s="15">
        <f t="shared" si="1"/>
        <v>-2418194.5</v>
      </c>
    </row>
    <row r="8" ht="22.5" customHeight="1">
      <c r="A8" s="7">
        <v>2022.0</v>
      </c>
      <c r="B8" s="8">
        <v>2.16703E7</v>
      </c>
      <c r="C8" s="7">
        <f>'Data Pembanding'!B9</f>
        <v>25755726</v>
      </c>
      <c r="D8" s="9">
        <f t="shared" si="1"/>
        <v>-4085426</v>
      </c>
    </row>
    <row r="9" ht="22.5" customHeight="1">
      <c r="A9" s="7">
        <v>2023.0</v>
      </c>
      <c r="B9" s="8">
        <v>2.30462E7</v>
      </c>
      <c r="C9" s="7">
        <f>'Data Pembanding'!B10</f>
        <v>30542580</v>
      </c>
      <c r="D9" s="9">
        <f t="shared" si="1"/>
        <v>-7496380</v>
      </c>
    </row>
    <row r="10" ht="22.5" customHeight="1">
      <c r="A10" s="7">
        <v>2024.0</v>
      </c>
      <c r="B10" s="8">
        <v>2.44723E7</v>
      </c>
      <c r="C10" s="7">
        <f>'Data Pembanding'!B11</f>
        <v>38134536</v>
      </c>
      <c r="D10" s="9">
        <f t="shared" si="1"/>
        <v>-13662236</v>
      </c>
    </row>
    <row r="11" ht="22.5" customHeight="1">
      <c r="A11" s="7">
        <v>2025.0</v>
      </c>
      <c r="B11" s="8">
        <v>2.60648E7</v>
      </c>
      <c r="C11" s="7">
        <f>'Data Pembanding'!B12</f>
        <v>40695654</v>
      </c>
      <c r="D11" s="9">
        <f t="shared" si="1"/>
        <v>-14630854</v>
      </c>
    </row>
    <row r="13">
      <c r="A13" s="10" t="s">
        <v>43</v>
      </c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ht="22.5" customHeight="1">
      <c r="A15" s="4" t="s">
        <v>16</v>
      </c>
      <c r="B15" s="4" t="s">
        <v>17</v>
      </c>
      <c r="C15" s="4" t="s">
        <v>18</v>
      </c>
      <c r="D15" s="4" t="s">
        <v>19</v>
      </c>
      <c r="E15" s="4" t="s">
        <v>20</v>
      </c>
      <c r="F15" s="4" t="s">
        <v>21</v>
      </c>
      <c r="G15" s="4" t="s">
        <v>22</v>
      </c>
      <c r="H15" s="4" t="s">
        <v>23</v>
      </c>
      <c r="I15" s="4" t="s">
        <v>24</v>
      </c>
      <c r="J15" s="4" t="s">
        <v>25</v>
      </c>
      <c r="K15" s="4" t="s">
        <v>26</v>
      </c>
      <c r="L15" s="4" t="s">
        <v>27</v>
      </c>
      <c r="M15" s="4" t="s">
        <v>28</v>
      </c>
      <c r="N15" s="4" t="s">
        <v>29</v>
      </c>
      <c r="O15" s="4" t="s">
        <v>30</v>
      </c>
      <c r="P15" s="4" t="s">
        <v>31</v>
      </c>
      <c r="Q15" s="4" t="s">
        <v>32</v>
      </c>
      <c r="R15" s="4" t="s">
        <v>33</v>
      </c>
      <c r="S15" s="4" t="s">
        <v>34</v>
      </c>
      <c r="T15" s="4" t="s">
        <v>35</v>
      </c>
      <c r="U15" s="4" t="s">
        <v>36</v>
      </c>
      <c r="V15" s="4" t="s">
        <v>37</v>
      </c>
      <c r="W15" s="4" t="s">
        <v>38</v>
      </c>
      <c r="X15" s="4" t="s">
        <v>39</v>
      </c>
      <c r="Y15" s="4" t="s">
        <v>40</v>
      </c>
      <c r="Z15" s="4" t="s">
        <v>41</v>
      </c>
      <c r="AA15" s="4" t="s">
        <v>42</v>
      </c>
    </row>
    <row r="16" ht="22.5" customHeight="1">
      <c r="A16" s="16" t="s">
        <v>4</v>
      </c>
      <c r="B16" s="17">
        <f>AVERAGE(C2:C11)</f>
        <v>24684586.73</v>
      </c>
      <c r="C16" s="17">
        <f>AVERAGE(B2:B11)</f>
        <v>20108920</v>
      </c>
      <c r="D16" s="17">
        <f>_xlfn.STDEV.P(C2:C11)</f>
        <v>8600803.74</v>
      </c>
      <c r="E16" s="17">
        <f>_xlfn.STDEV.P(B2:B11)</f>
        <v>3497997.168</v>
      </c>
      <c r="F16" s="17">
        <f>CORREL(C2:C11,B2:B11)</f>
        <v>0.969792431</v>
      </c>
      <c r="G16" s="17">
        <f>ABS(C16-B16)/ABS(B16)</f>
        <v>0.1853653366</v>
      </c>
      <c r="H16" s="17">
        <f>ABS(E16-D16)/D16</f>
        <v>0.5932941532</v>
      </c>
      <c r="I16" s="17">
        <f>_xlfn.STDEV.P(D2:D11)/(D16+E16)</f>
        <v>0.4362335585</v>
      </c>
      <c r="J16" s="17">
        <f>(C16-B16)^2</f>
        <v>20936726009091</v>
      </c>
      <c r="K16" s="17">
        <f>(E16-D16)^2</f>
        <v>26038634908585</v>
      </c>
      <c r="L16" s="17">
        <f>2*(1-F16)*E16*D16</f>
        <v>1817624897636</v>
      </c>
      <c r="M16" s="17">
        <f>J16/(J16+K16+L16)</f>
        <v>0.4290929456</v>
      </c>
      <c r="N16" s="17">
        <f>K16/(J16+K16+L16)</f>
        <v>0.5336552882</v>
      </c>
      <c r="O16" s="17">
        <f>L16/(J16+K16+L16)</f>
        <v>0.03725176616</v>
      </c>
      <c r="P16" s="17">
        <f>SUMPRODUCT(ABS(D2:D11/C2:C11))/COUNT(C2:C11)</f>
        <v>0.1487890504</v>
      </c>
      <c r="Q16" s="21" t="str">
        <f>IF(G16&lt;=0.05,"Lolos","Tidak")</f>
        <v>Tidak</v>
      </c>
      <c r="R16" s="21" t="str">
        <f>IF(H16&lt;=0.3,"Lolos","Tidak")</f>
        <v>Tidak</v>
      </c>
      <c r="S16" s="21" t="str">
        <f>IF(I16&lt;0.4,"Baik",IF(I16&lt;=0.7,"Cukup","Kurang"))</f>
        <v>Cukup</v>
      </c>
      <c r="T16" s="17">
        <f>SLOPE(C2:C11,A2:A11)</f>
        <v>2850586.803</v>
      </c>
      <c r="U16" s="17">
        <f>SLOPE(B2:B11,A2:A11)</f>
        <v>1214201.212</v>
      </c>
      <c r="V16" s="17">
        <f>STEYX(C2:C11,A2:A11)^2/DEVSQ(A2:A11)</f>
        <v>105084890075</v>
      </c>
      <c r="W16" s="17">
        <f>STEYX(B2:B11,A2:A11)^2/DEVSQ(A2:A11)</f>
        <v>1108126903</v>
      </c>
      <c r="X16" s="17">
        <f>ABS(U16-T16)/SQRT(V16+W16)</f>
        <v>5.02154856</v>
      </c>
      <c r="Y16" s="17">
        <f>_xlfn.T.INV.2T(0.05,2*COUNT(A2:A11)-4)</f>
        <v>2.119905299</v>
      </c>
      <c r="Z16" s="21" t="str">
        <f>IF(SIGN(T16)=SIGN(U16),"Sama","Berlawanan")</f>
        <v>Sama</v>
      </c>
      <c r="AA16" s="21" t="str">
        <f>IF(Z16="Berlawanan","Berlawanan arah",IF(X16&lt;=Y16,"Tidak berbeda nyata","Berbeda nyata"))</f>
        <v>Berbeda nyata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dataValidations>
    <dataValidation type="custom" allowBlank="1" showDropDown="1" sqref="A2:D11 B16:P16 T16:Y16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31.5"/>
    <col customWidth="1" min="3" max="6" width="27.38"/>
    <col customWidth="1" min="7" max="18" width="14.0"/>
    <col customWidth="1" min="19" max="23" width="23.88"/>
    <col customWidth="1" min="24" max="26" width="14.0"/>
    <col customWidth="1" min="27" max="27" width="17.38"/>
  </cols>
  <sheetData>
    <row r="1" ht="31.5" customHeight="1">
      <c r="A1" s="4" t="s">
        <v>2</v>
      </c>
      <c r="B1" s="4" t="s">
        <v>3</v>
      </c>
      <c r="C1" s="4" t="s">
        <v>6</v>
      </c>
      <c r="D1" s="4" t="s">
        <v>8</v>
      </c>
    </row>
    <row r="2" ht="22.5" customHeight="1">
      <c r="A2" s="7">
        <f>'Uji P5'!A2</f>
        <v>2016</v>
      </c>
      <c r="B2" s="8">
        <v>1.50663E7</v>
      </c>
      <c r="C2" s="9">
        <f>'Data Pembanding'!B3</f>
        <v>15066309.46</v>
      </c>
      <c r="D2" s="9">
        <f t="shared" ref="D2:D9" si="1">B2-C2</f>
        <v>-9.4573418</v>
      </c>
    </row>
    <row r="3" ht="22.5" customHeight="1">
      <c r="A3" s="7">
        <f>'Uji P5'!A3</f>
        <v>2017</v>
      </c>
      <c r="B3" s="8">
        <v>1.60058E7</v>
      </c>
      <c r="C3" s="9">
        <f>'Data Pembanding'!B4</f>
        <v>15280457.17</v>
      </c>
      <c r="D3" s="9">
        <f t="shared" si="1"/>
        <v>725342.8332</v>
      </c>
    </row>
    <row r="4" ht="22.5" customHeight="1">
      <c r="A4" s="7">
        <f>'Uji P5'!A4</f>
        <v>2018</v>
      </c>
      <c r="B4" s="8">
        <v>1.70191E7</v>
      </c>
      <c r="C4" s="9">
        <f>'Data Pembanding'!B5</f>
        <v>18390971.16</v>
      </c>
      <c r="D4" s="9">
        <f t="shared" si="1"/>
        <v>-1371871.16</v>
      </c>
    </row>
    <row r="5" ht="22.5" customHeight="1">
      <c r="A5" s="7">
        <f>'Uji P5'!A5</f>
        <v>2019</v>
      </c>
      <c r="B5" s="8">
        <v>1.80866E7</v>
      </c>
      <c r="C5" s="9">
        <f>'Data Pembanding'!B6</f>
        <v>20520104</v>
      </c>
      <c r="D5" s="9">
        <f t="shared" si="1"/>
        <v>-2433504</v>
      </c>
    </row>
    <row r="6" ht="22.5" customHeight="1">
      <c r="A6" s="7">
        <f>'Uji P5'!A8</f>
        <v>2022</v>
      </c>
      <c r="B6" s="8">
        <v>2.16703E7</v>
      </c>
      <c r="C6" s="9">
        <f>'Data Pembanding'!B9</f>
        <v>25755726</v>
      </c>
      <c r="D6" s="9">
        <f t="shared" si="1"/>
        <v>-4085426</v>
      </c>
    </row>
    <row r="7" ht="22.5" customHeight="1">
      <c r="A7" s="7">
        <f>'Uji P5'!A9</f>
        <v>2023</v>
      </c>
      <c r="B7" s="8">
        <v>2.30462E7</v>
      </c>
      <c r="C7" s="9">
        <f>'Data Pembanding'!B10</f>
        <v>30542580</v>
      </c>
      <c r="D7" s="9">
        <f t="shared" si="1"/>
        <v>-7496380</v>
      </c>
    </row>
    <row r="8" ht="22.5" customHeight="1">
      <c r="A8" s="7">
        <f>'Uji P5'!A10</f>
        <v>2024</v>
      </c>
      <c r="B8" s="8">
        <v>2.44723E7</v>
      </c>
      <c r="C8" s="9">
        <f>'Data Pembanding'!B11</f>
        <v>38134536</v>
      </c>
      <c r="D8" s="9">
        <f t="shared" si="1"/>
        <v>-13662236</v>
      </c>
    </row>
    <row r="9" ht="22.5" customHeight="1">
      <c r="A9" s="7">
        <f>'Uji P5'!A11</f>
        <v>2025</v>
      </c>
      <c r="B9" s="8">
        <v>2.60648E7</v>
      </c>
      <c r="C9" s="9">
        <f>'Data Pembanding'!B12</f>
        <v>40695654</v>
      </c>
      <c r="D9" s="9">
        <f t="shared" si="1"/>
        <v>-14630854</v>
      </c>
    </row>
    <row r="11">
      <c r="A11" s="10" t="s">
        <v>15</v>
      </c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ht="22.5" customHeight="1">
      <c r="A13" s="4" t="s">
        <v>16</v>
      </c>
      <c r="B13" s="4" t="s">
        <v>17</v>
      </c>
      <c r="C13" s="4" t="s">
        <v>18</v>
      </c>
      <c r="D13" s="4" t="s">
        <v>19</v>
      </c>
      <c r="E13" s="4" t="s">
        <v>20</v>
      </c>
      <c r="F13" s="4" t="s">
        <v>21</v>
      </c>
      <c r="G13" s="4" t="s">
        <v>22</v>
      </c>
      <c r="H13" s="4" t="s">
        <v>23</v>
      </c>
      <c r="I13" s="4" t="s">
        <v>24</v>
      </c>
      <c r="J13" s="4" t="s">
        <v>25</v>
      </c>
      <c r="K13" s="4" t="s">
        <v>26</v>
      </c>
      <c r="L13" s="4" t="s">
        <v>27</v>
      </c>
      <c r="M13" s="4" t="s">
        <v>28</v>
      </c>
      <c r="N13" s="4" t="s">
        <v>29</v>
      </c>
      <c r="O13" s="4" t="s">
        <v>30</v>
      </c>
      <c r="P13" s="4" t="s">
        <v>31</v>
      </c>
      <c r="Q13" s="4" t="s">
        <v>32</v>
      </c>
      <c r="R13" s="4" t="s">
        <v>33</v>
      </c>
      <c r="S13" s="4" t="s">
        <v>34</v>
      </c>
      <c r="T13" s="4" t="s">
        <v>35</v>
      </c>
      <c r="U13" s="4" t="s">
        <v>36</v>
      </c>
      <c r="V13" s="4" t="s">
        <v>37</v>
      </c>
      <c r="W13" s="4" t="s">
        <v>38</v>
      </c>
      <c r="X13" s="4" t="s">
        <v>39</v>
      </c>
      <c r="Y13" s="4" t="s">
        <v>40</v>
      </c>
      <c r="Z13" s="4" t="s">
        <v>41</v>
      </c>
      <c r="AA13" s="4" t="s">
        <v>42</v>
      </c>
    </row>
    <row r="14" ht="22.5" customHeight="1">
      <c r="A14" s="16" t="s">
        <v>4</v>
      </c>
      <c r="B14" s="17">
        <f>AVERAGE(C2:C9)</f>
        <v>25548292.22</v>
      </c>
      <c r="C14" s="17">
        <f>AVERAGE(B2:B9)</f>
        <v>20178925</v>
      </c>
      <c r="D14" s="17">
        <f>_xlfn.STDEV.P(C2:C9)</f>
        <v>9385176.886</v>
      </c>
      <c r="E14" s="17">
        <f>_xlfn.STDEV.P(B2:B9)</f>
        <v>3896124.41</v>
      </c>
      <c r="F14" s="17">
        <f>CORREL(C2:C9,B2:B9)</f>
        <v>0.9824687994</v>
      </c>
      <c r="G14" s="17">
        <f>ABS(C14-B14)/ABS(B14)</f>
        <v>0.2101654066</v>
      </c>
      <c r="H14" s="17">
        <f>ABS(E14-D14)/D14</f>
        <v>0.5848640407</v>
      </c>
      <c r="I14" s="17">
        <f>_xlfn.STDEV.P(D2:D9)/(D14+E14)</f>
        <v>0.4219934026</v>
      </c>
      <c r="J14" s="17">
        <f>(C14-B14)^2</f>
        <v>28830104374993</v>
      </c>
      <c r="K14" s="17">
        <f>(E14-D14)^2</f>
        <v>30129697088864</v>
      </c>
      <c r="L14" s="17">
        <f>2*(1-F14)*E14*D14</f>
        <v>1282085338275</v>
      </c>
      <c r="M14" s="17">
        <f>J14/(J14+K14+L14)</f>
        <v>0.4785724005</v>
      </c>
      <c r="N14" s="17">
        <f>K14/(J14+K14+L14)</f>
        <v>0.500145309</v>
      </c>
      <c r="O14" s="17">
        <f>L14/(J14+K14+L14)</f>
        <v>0.02128229055</v>
      </c>
      <c r="P14" s="17">
        <f>SUMPRODUCT(ABS(D2:D9/C2:C9))/COUNT(C2:C9)</f>
        <v>0.1703125774</v>
      </c>
      <c r="Q14" s="21" t="str">
        <f>IF(G14&lt;=0.05,"Lolos","Tidak")</f>
        <v>Tidak</v>
      </c>
      <c r="R14" s="21" t="str">
        <f>IF(H14&lt;=0.3,"Lolos","Tidak")</f>
        <v>Tidak</v>
      </c>
      <c r="S14" s="21" t="str">
        <f>IF(I14&lt;0.4,"Baik",IF(I14&lt;=0.7,"Cukup","Kurang"))</f>
        <v>Cukup</v>
      </c>
      <c r="T14" s="17">
        <f>SLOPE(C2:C9,A2:A9)</f>
        <v>2848216.847</v>
      </c>
      <c r="U14" s="17">
        <f>SLOPE(B2:B9,A2:A9)</f>
        <v>1214259.756</v>
      </c>
      <c r="V14" s="17">
        <f>STEYX(C2:C9,A2:A9)^2/DEVSQ(A2:A9)</f>
        <v>80163712181</v>
      </c>
      <c r="W14" s="17">
        <f>STEYX(B2:B9,A2:A9)^2/DEVSQ(A2:A9)</f>
        <v>1087986549</v>
      </c>
      <c r="X14" s="17">
        <f>ABS(U14-T14)/SQRT(V14+W14)</f>
        <v>5.732240756</v>
      </c>
      <c r="Y14" s="17">
        <f>_xlfn.T.INV.2T(0.05,2*COUNT(A2:A9)-4)</f>
        <v>2.17881283</v>
      </c>
      <c r="Z14" s="21" t="str">
        <f>IF(SIGN(T14)=SIGN(U14),"Sama","Berlawanan")</f>
        <v>Sama</v>
      </c>
      <c r="AA14" s="21" t="str">
        <f>IF(Z14="Berlawanan","Berlawanan arah",IF(X14&lt;=Y14,"Tidak berbeda nyata","Berbeda nyata"))</f>
        <v>Berbeda nyata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dataValidations>
    <dataValidation type="custom" allowBlank="1" showDropDown="1" sqref="A2:D9 B14:P14 T14:Y14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2016.0</v>
      </c>
      <c r="C1" s="1">
        <v>2017.0</v>
      </c>
      <c r="D1" s="1">
        <v>2018.0</v>
      </c>
      <c r="E1" s="1">
        <v>2019.0</v>
      </c>
      <c r="F1" s="1">
        <v>2020.0</v>
      </c>
      <c r="G1" s="1">
        <v>2021.0</v>
      </c>
      <c r="H1" s="1">
        <v>2022.0</v>
      </c>
      <c r="I1" s="1">
        <v>2023.0</v>
      </c>
      <c r="J1" s="1">
        <v>2024.0</v>
      </c>
      <c r="K1" s="1">
        <v>2025.0</v>
      </c>
    </row>
    <row r="2">
      <c r="A2" s="1" t="s">
        <v>1</v>
      </c>
      <c r="B2" s="2">
        <v>1.50663E7</v>
      </c>
      <c r="C2" s="2">
        <v>1.60058E7</v>
      </c>
      <c r="D2" s="2">
        <v>1.70191E7</v>
      </c>
      <c r="E2" s="2">
        <v>1.80866E7</v>
      </c>
      <c r="F2" s="2">
        <v>1.92266E7</v>
      </c>
      <c r="G2" s="2">
        <v>2.04312E7</v>
      </c>
      <c r="H2" s="2">
        <v>2.16703E7</v>
      </c>
      <c r="I2" s="2">
        <v>2.30462E7</v>
      </c>
      <c r="J2" s="2">
        <v>2.44723E7</v>
      </c>
      <c r="K2" s="2">
        <v>2.60648E7</v>
      </c>
    </row>
    <row r="4">
      <c r="A4" s="1" t="s">
        <v>0</v>
      </c>
      <c r="B4" s="1" t="s">
        <v>1</v>
      </c>
    </row>
    <row r="5">
      <c r="A5" s="1">
        <v>2016.0</v>
      </c>
      <c r="B5" s="3">
        <v>1.50663E7</v>
      </c>
    </row>
    <row r="6">
      <c r="A6" s="1">
        <v>2017.0</v>
      </c>
      <c r="B6" s="3">
        <v>1.60058E7</v>
      </c>
    </row>
    <row r="7">
      <c r="A7" s="1">
        <v>2018.0</v>
      </c>
      <c r="B7" s="3">
        <v>1.70191E7</v>
      </c>
    </row>
    <row r="8">
      <c r="A8" s="1">
        <v>2019.0</v>
      </c>
      <c r="B8" s="3">
        <v>1.80866E7</v>
      </c>
    </row>
    <row r="9">
      <c r="A9" s="1">
        <v>2020.0</v>
      </c>
      <c r="B9" s="3">
        <v>1.92266E7</v>
      </c>
    </row>
    <row r="10">
      <c r="A10" s="1">
        <v>2021.0</v>
      </c>
      <c r="B10" s="3">
        <v>2.04312E7</v>
      </c>
    </row>
    <row r="11">
      <c r="A11" s="1">
        <v>2022.0</v>
      </c>
      <c r="B11" s="3">
        <v>2.16703E7</v>
      </c>
    </row>
    <row r="12">
      <c r="A12" s="1">
        <v>2023.0</v>
      </c>
      <c r="B12" s="3">
        <v>2.30462E7</v>
      </c>
    </row>
    <row r="13">
      <c r="A13" s="1">
        <v>2024.0</v>
      </c>
      <c r="B13" s="3">
        <v>2.44723E7</v>
      </c>
    </row>
    <row r="14">
      <c r="A14" s="1">
        <v>2025.0</v>
      </c>
      <c r="B14" s="3">
        <v>2.60648E7</v>
      </c>
    </row>
  </sheetData>
  <drawing r:id="rId1"/>
</worksheet>
</file>